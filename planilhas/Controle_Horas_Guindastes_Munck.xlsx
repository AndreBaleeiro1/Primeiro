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Motivos de Parada" sheetId="2" state="visible" r:id="rId2"/>
    <sheet name="Lançamentos Diários" sheetId="3" state="visible" r:id="rId3"/>
    <sheet name="Paradas" sheetId="4" state="visible" r:id="rId4"/>
    <sheet name="Resumo Mensal" sheetId="5" state="visible" r:id="rId5"/>
  </sheets>
  <definedNames>
    <definedName name="_xlnm._FilterDatabase" localSheetId="2" hidden="1">'Lançamentos Diários'!$A$4:$O$504</definedName>
    <definedName name="_xlnm._FilterDatabase" localSheetId="3" hidden="1">'Paradas'!$A$4:$H$1004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HH:MM"/>
    <numFmt numFmtId="166" formatCode="#,##0.0"/>
    <numFmt numFmtId="167" formatCode="yyyy-mm-dd"/>
    <numFmt numFmtId="168" formatCode="MM/YYYY"/>
    <numFmt numFmtId="169" formatCode="0.0%"/>
    <numFmt numFmtId="170" formatCode="0.00;-0.00;&quot;-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b val="1"/>
      <sz val="12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833C0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3" borderId="1" pivotButton="0" quotePrefix="0" xfId="0"/>
    <xf numFmtId="0" fontId="7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2" fontId="7" fillId="5" borderId="1" pivotButton="0" quotePrefix="0" xfId="0"/>
    <xf numFmtId="1" fontId="7" fillId="5" borderId="1" pivotButton="0" quotePrefix="0" xfId="0"/>
    <xf numFmtId="164" fontId="7" fillId="3" borderId="1" pivotButton="0" quotePrefix="0" xfId="0"/>
    <xf numFmtId="165" fontId="7" fillId="3" borderId="1" pivotButton="0" quotePrefix="0" xfId="0"/>
    <xf numFmtId="166" fontId="7" fillId="3" borderId="1" pivotButton="0" quotePrefix="0" xfId="0"/>
    <xf numFmtId="0" fontId="7" fillId="5" borderId="1" pivotButton="0" quotePrefix="0" xfId="0"/>
    <xf numFmtId="0" fontId="4" fillId="0" borderId="0" pivotButton="0" quotePrefix="0" xfId="0"/>
    <xf numFmtId="168" fontId="5" fillId="3" borderId="1" pivotButton="0" quotePrefix="0" xfId="0"/>
    <xf numFmtId="164" fontId="7" fillId="0" borderId="0" pivotButton="0" quotePrefix="0" xfId="0"/>
    <xf numFmtId="1" fontId="7" fillId="0" borderId="1" pivotButton="0" quotePrefix="0" xfId="0"/>
    <xf numFmtId="2" fontId="7" fillId="0" borderId="1" pivotButton="0" quotePrefix="0" xfId="0"/>
    <xf numFmtId="169" fontId="7" fillId="0" borderId="1" pivotButton="0" quotePrefix="0" xfId="0"/>
    <xf numFmtId="1" fontId="4" fillId="0" borderId="1" pivotButton="0" quotePrefix="0" xfId="0"/>
    <xf numFmtId="2" fontId="4" fillId="0" borderId="1" pivotButton="0" quotePrefix="0" xfId="0"/>
    <xf numFmtId="169" fontId="4" fillId="0" borderId="1" pivotButton="0" quotePrefix="0" xfId="0"/>
    <xf numFmtId="0" fontId="6" fillId="0" borderId="0" pivotButton="0" quotePrefix="0" xfId="0"/>
    <xf numFmtId="0" fontId="7" fillId="0" borderId="1" pivotButton="0" quotePrefix="0" xfId="0"/>
    <xf numFmtId="170" fontId="7" fillId="0" borderId="1" pivotButton="0" quotePrefix="0" xfId="0"/>
    <xf numFmtId="170" fontId="4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Modelo</author>
  </authors>
  <commentList>
    <comment ref="J4" authorId="0" shapeId="0">
      <text>
        <t>Término − início − intervalo de almoço.</t>
      </text>
    </comment>
    <comment ref="K4" authorId="0" shapeId="0">
      <text>
        <t>Soma das paradas lançadas na aba 'Paradas' para esta data e este equipamento.</t>
      </text>
    </comment>
    <comment ref="L4" authorId="0" shapeId="0">
      <text>
        <t>Horas totais − horas paradas.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</cols>
  <sheetData>
    <row r="1">
      <c r="A1" s="1" t="inlineStr">
        <is>
          <t>CADASTRO DE EQUIPAMENTOS</t>
        </is>
      </c>
      <c r="B1" s="2" t="n"/>
      <c r="C1" s="2" t="n"/>
    </row>
    <row r="2">
      <c r="A2" s="3" t="inlineStr">
        <is>
          <t>Células amarelas: preencha/ajuste. Placas em azul são EXEMPLOS — substitua pelas reais.</t>
        </is>
      </c>
      <c r="B2" s="2" t="n"/>
      <c r="C2" s="2" t="n"/>
    </row>
    <row r="3">
      <c r="A3" s="2" t="n"/>
      <c r="B3" s="2" t="n"/>
      <c r="C3" s="2" t="n"/>
    </row>
    <row r="4" ht="32" customHeight="1">
      <c r="A4" s="4" t="inlineStr">
        <is>
          <t>Equipamento</t>
        </is>
      </c>
      <c r="B4" s="4" t="inlineStr">
        <is>
          <t>Placa / Identificação</t>
        </is>
      </c>
      <c r="C4" s="4" t="inlineStr">
        <is>
          <t>Observações</t>
        </is>
      </c>
    </row>
    <row r="5">
      <c r="A5" s="5" t="inlineStr">
        <is>
          <t>Guindaste 30 t</t>
        </is>
      </c>
      <c r="B5" s="6" t="inlineStr">
        <is>
          <t>ABC-1234</t>
        </is>
      </c>
      <c r="C5" s="7" t="n"/>
    </row>
    <row r="6">
      <c r="A6" s="5" t="inlineStr">
        <is>
          <t>Guindaste 70 t</t>
        </is>
      </c>
      <c r="B6" s="6" t="inlineStr">
        <is>
          <t>DEF-5678</t>
        </is>
      </c>
      <c r="C6" s="7" t="n"/>
    </row>
    <row r="7">
      <c r="A7" s="5" t="inlineStr">
        <is>
          <t>Caminhão Munck</t>
        </is>
      </c>
      <c r="B7" s="6" t="inlineStr">
        <is>
          <t>GHI-9012</t>
        </is>
      </c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2" t="n"/>
      <c r="B11" s="2" t="n"/>
      <c r="C11" s="2" t="n"/>
    </row>
    <row r="12">
      <c r="A12" s="3" t="inlineStr">
        <is>
          <t>Linhas 8 a 10 livres para novos equipamentos.</t>
        </is>
      </c>
      <c r="B12" s="2" t="n"/>
      <c r="C1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MOTIVOS DE PARADA</t>
        </is>
      </c>
    </row>
    <row r="2">
      <c r="A2" s="3" t="inlineStr">
        <is>
          <t>Lista usada no campo 'Motivo' da aba Paradas. Pode editar, apagar ou incluir motivos nas linhas amarelas.</t>
        </is>
      </c>
    </row>
    <row r="3">
      <c r="A3" s="2" t="n"/>
    </row>
    <row r="4" ht="32" customHeight="1">
      <c r="A4" s="8" t="inlineStr">
        <is>
          <t>Motivo</t>
        </is>
      </c>
    </row>
    <row r="5">
      <c r="A5" s="7" t="inlineStr">
        <is>
          <t>Manutenção</t>
        </is>
      </c>
    </row>
    <row r="6">
      <c r="A6" s="7" t="inlineStr">
        <is>
          <t>Vazamento de óleo</t>
        </is>
      </c>
    </row>
    <row r="7">
      <c r="A7" s="7" t="inlineStr">
        <is>
          <t>Abastecimento</t>
        </is>
      </c>
    </row>
    <row r="8">
      <c r="A8" s="7" t="inlineStr">
        <is>
          <t>Sem operador</t>
        </is>
      </c>
    </row>
    <row r="9">
      <c r="A9" s="7" t="inlineStr">
        <is>
          <t>Aguardando cliente / liberação</t>
        </is>
      </c>
    </row>
    <row r="10">
      <c r="A10" s="7" t="inlineStr">
        <is>
          <t>Falta de frente de serviço</t>
        </is>
      </c>
    </row>
    <row r="11">
      <c r="A11" s="7" t="inlineStr">
        <is>
          <t>Chuva / condições climáticas</t>
        </is>
      </c>
    </row>
    <row r="12">
      <c r="A12" s="7" t="inlineStr">
        <is>
          <t>Deslocamento / mobilização</t>
        </is>
      </c>
    </row>
    <row r="13">
      <c r="A13" s="7" t="inlineStr">
        <is>
          <t>Outros</t>
        </is>
      </c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6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11" customWidth="1" min="14" max="14"/>
    <col width="34" customWidth="1" min="15" max="15"/>
  </cols>
  <sheetData>
    <row r="1">
      <c r="A1" s="1" t="inlineStr">
        <is>
          <t>CONTROLE DIÁRIO DE HORAS — GUINDASTES E MUNCK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Uma linha por equipamento por dia. Preencha as colunas amarelas; as cinzas calculam sozinhas (as paradas vêm da aba 'Paradas'). Linha 5 é EXEMPLO.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32" customHeight="1">
      <c r="A4" s="4" t="inlineStr">
        <is>
          <t>Data</t>
        </is>
      </c>
      <c r="B4" s="4" t="inlineStr">
        <is>
          <t>Equipamento</t>
        </is>
      </c>
      <c r="C4" s="4" t="inlineStr">
        <is>
          <t>Operador</t>
        </is>
      </c>
      <c r="D4" s="4" t="inlineStr">
        <is>
          <t>Cliente / Obra</t>
        </is>
      </c>
      <c r="E4" s="4" t="inlineStr">
        <is>
          <t>Hora início</t>
        </is>
      </c>
      <c r="F4" s="4" t="inlineStr">
        <is>
          <t>Hora término</t>
        </is>
      </c>
      <c r="G4" s="4" t="inlineStr">
        <is>
          <t>Intervalo almoço (h:mm)</t>
        </is>
      </c>
      <c r="H4" s="4" t="inlineStr">
        <is>
          <t>Horímetro inicial</t>
        </is>
      </c>
      <c r="I4" s="4" t="inlineStr">
        <is>
          <t>Horímetro final</t>
        </is>
      </c>
      <c r="J4" s="4" t="inlineStr">
        <is>
          <t>Horas totais</t>
        </is>
      </c>
      <c r="K4" s="4" t="inlineStr">
        <is>
          <t>Horas paradas</t>
        </is>
      </c>
      <c r="L4" s="4" t="inlineStr">
        <is>
          <t>Horas efetivas trabalhadas</t>
        </is>
      </c>
      <c r="M4" s="4" t="inlineStr">
        <is>
          <t>Nº de paradas</t>
        </is>
      </c>
      <c r="N4" s="4" t="inlineStr">
        <is>
          <t>Horas horímetro</t>
        </is>
      </c>
      <c r="O4" s="4" t="inlineStr">
        <is>
          <t>Observações</t>
        </is>
      </c>
    </row>
    <row r="5">
      <c r="A5" s="9" t="n">
        <v>46266</v>
      </c>
      <c r="B5" s="6" t="inlineStr">
        <is>
          <t>Guindaste 30 t</t>
        </is>
      </c>
      <c r="C5" s="6" t="inlineStr">
        <is>
          <t>João Silva</t>
        </is>
      </c>
      <c r="D5" s="6" t="inlineStr">
        <is>
          <t>Obra Centro — Construtora X</t>
        </is>
      </c>
      <c r="E5" s="10" t="n">
        <v>0.2916666666666667</v>
      </c>
      <c r="F5" s="10" t="n">
        <v>0.7083333333333334</v>
      </c>
      <c r="G5" s="10" t="n">
        <v>0.04166666666666666</v>
      </c>
      <c r="H5" s="11" t="n">
        <v>1250</v>
      </c>
      <c r="I5" s="11" t="n">
        <v>1256.5</v>
      </c>
      <c r="J5" s="12">
        <f>IF(OR(E5="",F5=""),"",ROUND((MOD(F5-E5,1)-N(G5))*24,2))</f>
        <v/>
      </c>
      <c r="K5" s="12">
        <f>IF(OR(A5="",B5=""),"",SUMIFS(Paradas!$F$5:$F$1004,Paradas!$A$5:$A$1004,A5,Paradas!$B$5:$B$1004,B5))</f>
        <v/>
      </c>
      <c r="L5" s="12">
        <f>IF(J5="","",J5-N(K5))</f>
        <v/>
      </c>
      <c r="M5" s="13">
        <f>IF(OR(A5="",B5=""),"",COUNTIFS(Paradas!$A$5:$A$1004,A5,Paradas!$B$5:$B$1004,B5))</f>
        <v/>
      </c>
      <c r="N5" s="12">
        <f>IF(OR(H5="",I5=""),"",I5-H5)</f>
        <v/>
      </c>
      <c r="O5" s="6" t="inlineStr">
        <is>
          <t>EXEMPLO — apagar (e as 2 paradas de exemplo)</t>
        </is>
      </c>
    </row>
    <row r="6">
      <c r="A6" s="14" t="n"/>
      <c r="B6" s="7" t="n"/>
      <c r="C6" s="7" t="n"/>
      <c r="D6" s="7" t="n"/>
      <c r="E6" s="15" t="n"/>
      <c r="F6" s="15" t="n"/>
      <c r="G6" s="15" t="n"/>
      <c r="H6" s="16" t="n"/>
      <c r="I6" s="16" t="n"/>
      <c r="J6" s="12">
        <f>IF(OR(E6="",F6=""),"",ROUND((MOD(F6-E6,1)-N(G6))*24,2))</f>
        <v/>
      </c>
      <c r="K6" s="12">
        <f>IF(OR(A6="",B6=""),"",SUMIFS(Paradas!$F$5:$F$1004,Paradas!$A$5:$A$1004,A6,Paradas!$B$5:$B$1004,B6))</f>
        <v/>
      </c>
      <c r="L6" s="12">
        <f>IF(J6="","",J6-N(K6))</f>
        <v/>
      </c>
      <c r="M6" s="13">
        <f>IF(OR(A6="",B6=""),"",COUNTIFS(Paradas!$A$5:$A$1004,A6,Paradas!$B$5:$B$1004,B6))</f>
        <v/>
      </c>
      <c r="N6" s="12">
        <f>IF(OR(H6="",I6=""),"",I6-H6)</f>
        <v/>
      </c>
      <c r="O6" s="7" t="n"/>
    </row>
    <row r="7">
      <c r="A7" s="14" t="n"/>
      <c r="B7" s="7" t="n"/>
      <c r="C7" s="7" t="n"/>
      <c r="D7" s="7" t="n"/>
      <c r="E7" s="15" t="n"/>
      <c r="F7" s="15" t="n"/>
      <c r="G7" s="15" t="n"/>
      <c r="H7" s="16" t="n"/>
      <c r="I7" s="16" t="n"/>
      <c r="J7" s="12">
        <f>IF(OR(E7="",F7=""),"",ROUND((MOD(F7-E7,1)-N(G7))*24,2))</f>
        <v/>
      </c>
      <c r="K7" s="12">
        <f>IF(OR(A7="",B7=""),"",SUMIFS(Paradas!$F$5:$F$1004,Paradas!$A$5:$A$1004,A7,Paradas!$B$5:$B$1004,B7))</f>
        <v/>
      </c>
      <c r="L7" s="12">
        <f>IF(J7="","",J7-N(K7))</f>
        <v/>
      </c>
      <c r="M7" s="13">
        <f>IF(OR(A7="",B7=""),"",COUNTIFS(Paradas!$A$5:$A$1004,A7,Paradas!$B$5:$B$1004,B7))</f>
        <v/>
      </c>
      <c r="N7" s="12">
        <f>IF(OR(H7="",I7=""),"",I7-H7)</f>
        <v/>
      </c>
      <c r="O7" s="7" t="n"/>
    </row>
    <row r="8">
      <c r="A8" s="14" t="n"/>
      <c r="B8" s="7" t="n"/>
      <c r="C8" s="7" t="n"/>
      <c r="D8" s="7" t="n"/>
      <c r="E8" s="15" t="n"/>
      <c r="F8" s="15" t="n"/>
      <c r="G8" s="15" t="n"/>
      <c r="H8" s="16" t="n"/>
      <c r="I8" s="16" t="n"/>
      <c r="J8" s="12">
        <f>IF(OR(E8="",F8=""),"",ROUND((MOD(F8-E8,1)-N(G8))*24,2))</f>
        <v/>
      </c>
      <c r="K8" s="12">
        <f>IF(OR(A8="",B8=""),"",SUMIFS(Paradas!$F$5:$F$1004,Paradas!$A$5:$A$1004,A8,Paradas!$B$5:$B$1004,B8))</f>
        <v/>
      </c>
      <c r="L8" s="12">
        <f>IF(J8="","",J8-N(K8))</f>
        <v/>
      </c>
      <c r="M8" s="13">
        <f>IF(OR(A8="",B8=""),"",COUNTIFS(Paradas!$A$5:$A$1004,A8,Paradas!$B$5:$B$1004,B8))</f>
        <v/>
      </c>
      <c r="N8" s="12">
        <f>IF(OR(H8="",I8=""),"",I8-H8)</f>
        <v/>
      </c>
      <c r="O8" s="7" t="n"/>
    </row>
    <row r="9">
      <c r="A9" s="14" t="n"/>
      <c r="B9" s="7" t="n"/>
      <c r="C9" s="7" t="n"/>
      <c r="D9" s="7" t="n"/>
      <c r="E9" s="15" t="n"/>
      <c r="F9" s="15" t="n"/>
      <c r="G9" s="15" t="n"/>
      <c r="H9" s="16" t="n"/>
      <c r="I9" s="16" t="n"/>
      <c r="J9" s="12">
        <f>IF(OR(E9="",F9=""),"",ROUND((MOD(F9-E9,1)-N(G9))*24,2))</f>
        <v/>
      </c>
      <c r="K9" s="12">
        <f>IF(OR(A9="",B9=""),"",SUMIFS(Paradas!$F$5:$F$1004,Paradas!$A$5:$A$1004,A9,Paradas!$B$5:$B$1004,B9))</f>
        <v/>
      </c>
      <c r="L9" s="12">
        <f>IF(J9="","",J9-N(K9))</f>
        <v/>
      </c>
      <c r="M9" s="13">
        <f>IF(OR(A9="",B9=""),"",COUNTIFS(Paradas!$A$5:$A$1004,A9,Paradas!$B$5:$B$1004,B9))</f>
        <v/>
      </c>
      <c r="N9" s="12">
        <f>IF(OR(H9="",I9=""),"",I9-H9)</f>
        <v/>
      </c>
      <c r="O9" s="7" t="n"/>
    </row>
    <row r="10">
      <c r="A10" s="14" t="n"/>
      <c r="B10" s="7" t="n"/>
      <c r="C10" s="7" t="n"/>
      <c r="D10" s="7" t="n"/>
      <c r="E10" s="15" t="n"/>
      <c r="F10" s="15" t="n"/>
      <c r="G10" s="15" t="n"/>
      <c r="H10" s="16" t="n"/>
      <c r="I10" s="16" t="n"/>
      <c r="J10" s="12">
        <f>IF(OR(E10="",F10=""),"",ROUND((MOD(F10-E10,1)-N(G10))*24,2))</f>
        <v/>
      </c>
      <c r="K10" s="12">
        <f>IF(OR(A10="",B10=""),"",SUMIFS(Paradas!$F$5:$F$1004,Paradas!$A$5:$A$1004,A10,Paradas!$B$5:$B$1004,B10))</f>
        <v/>
      </c>
      <c r="L10" s="12">
        <f>IF(J10="","",J10-N(K10))</f>
        <v/>
      </c>
      <c r="M10" s="13">
        <f>IF(OR(A10="",B10=""),"",COUNTIFS(Paradas!$A$5:$A$1004,A10,Paradas!$B$5:$B$1004,B10))</f>
        <v/>
      </c>
      <c r="N10" s="12">
        <f>IF(OR(H10="",I10=""),"",I10-H10)</f>
        <v/>
      </c>
      <c r="O10" s="7" t="n"/>
    </row>
    <row r="11">
      <c r="A11" s="14" t="n"/>
      <c r="B11" s="7" t="n"/>
      <c r="C11" s="7" t="n"/>
      <c r="D11" s="7" t="n"/>
      <c r="E11" s="15" t="n"/>
      <c r="F11" s="15" t="n"/>
      <c r="G11" s="15" t="n"/>
      <c r="H11" s="16" t="n"/>
      <c r="I11" s="16" t="n"/>
      <c r="J11" s="12">
        <f>IF(OR(E11="",F11=""),"",ROUND((MOD(F11-E11,1)-N(G11))*24,2))</f>
        <v/>
      </c>
      <c r="K11" s="12">
        <f>IF(OR(A11="",B11=""),"",SUMIFS(Paradas!$F$5:$F$1004,Paradas!$A$5:$A$1004,A11,Paradas!$B$5:$B$1004,B11))</f>
        <v/>
      </c>
      <c r="L11" s="12">
        <f>IF(J11="","",J11-N(K11))</f>
        <v/>
      </c>
      <c r="M11" s="13">
        <f>IF(OR(A11="",B11=""),"",COUNTIFS(Paradas!$A$5:$A$1004,A11,Paradas!$B$5:$B$1004,B11))</f>
        <v/>
      </c>
      <c r="N11" s="12">
        <f>IF(OR(H11="",I11=""),"",I11-H11)</f>
        <v/>
      </c>
      <c r="O11" s="7" t="n"/>
    </row>
    <row r="12">
      <c r="A12" s="14" t="n"/>
      <c r="B12" s="7" t="n"/>
      <c r="C12" s="7" t="n"/>
      <c r="D12" s="7" t="n"/>
      <c r="E12" s="15" t="n"/>
      <c r="F12" s="15" t="n"/>
      <c r="G12" s="15" t="n"/>
      <c r="H12" s="16" t="n"/>
      <c r="I12" s="16" t="n"/>
      <c r="J12" s="12">
        <f>IF(OR(E12="",F12=""),"",ROUND((MOD(F12-E12,1)-N(G12))*24,2))</f>
        <v/>
      </c>
      <c r="K12" s="12">
        <f>IF(OR(A12="",B12=""),"",SUMIFS(Paradas!$F$5:$F$1004,Paradas!$A$5:$A$1004,A12,Paradas!$B$5:$B$1004,B12))</f>
        <v/>
      </c>
      <c r="L12" s="12">
        <f>IF(J12="","",J12-N(K12))</f>
        <v/>
      </c>
      <c r="M12" s="13">
        <f>IF(OR(A12="",B12=""),"",COUNTIFS(Paradas!$A$5:$A$1004,A12,Paradas!$B$5:$B$1004,B12))</f>
        <v/>
      </c>
      <c r="N12" s="12">
        <f>IF(OR(H12="",I12=""),"",I12-H12)</f>
        <v/>
      </c>
      <c r="O12" s="7" t="n"/>
    </row>
    <row r="13">
      <c r="A13" s="14" t="n"/>
      <c r="B13" s="7" t="n"/>
      <c r="C13" s="7" t="n"/>
      <c r="D13" s="7" t="n"/>
      <c r="E13" s="15" t="n"/>
      <c r="F13" s="15" t="n"/>
      <c r="G13" s="15" t="n"/>
      <c r="H13" s="16" t="n"/>
      <c r="I13" s="16" t="n"/>
      <c r="J13" s="12">
        <f>IF(OR(E13="",F13=""),"",ROUND((MOD(F13-E13,1)-N(G13))*24,2))</f>
        <v/>
      </c>
      <c r="K13" s="12">
        <f>IF(OR(A13="",B13=""),"",SUMIFS(Paradas!$F$5:$F$1004,Paradas!$A$5:$A$1004,A13,Paradas!$B$5:$B$1004,B13))</f>
        <v/>
      </c>
      <c r="L13" s="12">
        <f>IF(J13="","",J13-N(K13))</f>
        <v/>
      </c>
      <c r="M13" s="13">
        <f>IF(OR(A13="",B13=""),"",COUNTIFS(Paradas!$A$5:$A$1004,A13,Paradas!$B$5:$B$1004,B13))</f>
        <v/>
      </c>
      <c r="N13" s="12">
        <f>IF(OR(H13="",I13=""),"",I13-H13)</f>
        <v/>
      </c>
      <c r="O13" s="7" t="n"/>
    </row>
    <row r="14">
      <c r="A14" s="14" t="n"/>
      <c r="B14" s="7" t="n"/>
      <c r="C14" s="7" t="n"/>
      <c r="D14" s="7" t="n"/>
      <c r="E14" s="15" t="n"/>
      <c r="F14" s="15" t="n"/>
      <c r="G14" s="15" t="n"/>
      <c r="H14" s="16" t="n"/>
      <c r="I14" s="16" t="n"/>
      <c r="J14" s="12">
        <f>IF(OR(E14="",F14=""),"",ROUND((MOD(F14-E14,1)-N(G14))*24,2))</f>
        <v/>
      </c>
      <c r="K14" s="12">
        <f>IF(OR(A14="",B14=""),"",SUMIFS(Paradas!$F$5:$F$1004,Paradas!$A$5:$A$1004,A14,Paradas!$B$5:$B$1004,B14))</f>
        <v/>
      </c>
      <c r="L14" s="12">
        <f>IF(J14="","",J14-N(K14))</f>
        <v/>
      </c>
      <c r="M14" s="13">
        <f>IF(OR(A14="",B14=""),"",COUNTIFS(Paradas!$A$5:$A$1004,A14,Paradas!$B$5:$B$1004,B14))</f>
        <v/>
      </c>
      <c r="N14" s="12">
        <f>IF(OR(H14="",I14=""),"",I14-H14)</f>
        <v/>
      </c>
      <c r="O14" s="7" t="n"/>
    </row>
    <row r="15">
      <c r="A15" s="14" t="n"/>
      <c r="B15" s="7" t="n"/>
      <c r="C15" s="7" t="n"/>
      <c r="D15" s="7" t="n"/>
      <c r="E15" s="15" t="n"/>
      <c r="F15" s="15" t="n"/>
      <c r="G15" s="15" t="n"/>
      <c r="H15" s="16" t="n"/>
      <c r="I15" s="16" t="n"/>
      <c r="J15" s="12">
        <f>IF(OR(E15="",F15=""),"",ROUND((MOD(F15-E15,1)-N(G15))*24,2))</f>
        <v/>
      </c>
      <c r="K15" s="12">
        <f>IF(OR(A15="",B15=""),"",SUMIFS(Paradas!$F$5:$F$1004,Paradas!$A$5:$A$1004,A15,Paradas!$B$5:$B$1004,B15))</f>
        <v/>
      </c>
      <c r="L15" s="12">
        <f>IF(J15="","",J15-N(K15))</f>
        <v/>
      </c>
      <c r="M15" s="13">
        <f>IF(OR(A15="",B15=""),"",COUNTIFS(Paradas!$A$5:$A$1004,A15,Paradas!$B$5:$B$1004,B15))</f>
        <v/>
      </c>
      <c r="N15" s="12">
        <f>IF(OR(H15="",I15=""),"",I15-H15)</f>
        <v/>
      </c>
      <c r="O15" s="7" t="n"/>
    </row>
    <row r="16">
      <c r="A16" s="14" t="n"/>
      <c r="B16" s="7" t="n"/>
      <c r="C16" s="7" t="n"/>
      <c r="D16" s="7" t="n"/>
      <c r="E16" s="15" t="n"/>
      <c r="F16" s="15" t="n"/>
      <c r="G16" s="15" t="n"/>
      <c r="H16" s="16" t="n"/>
      <c r="I16" s="16" t="n"/>
      <c r="J16" s="12">
        <f>IF(OR(E16="",F16=""),"",ROUND((MOD(F16-E16,1)-N(G16))*24,2))</f>
        <v/>
      </c>
      <c r="K16" s="12">
        <f>IF(OR(A16="",B16=""),"",SUMIFS(Paradas!$F$5:$F$1004,Paradas!$A$5:$A$1004,A16,Paradas!$B$5:$B$1004,B16))</f>
        <v/>
      </c>
      <c r="L16" s="12">
        <f>IF(J16="","",J16-N(K16))</f>
        <v/>
      </c>
      <c r="M16" s="13">
        <f>IF(OR(A16="",B16=""),"",COUNTIFS(Paradas!$A$5:$A$1004,A16,Paradas!$B$5:$B$1004,B16))</f>
        <v/>
      </c>
      <c r="N16" s="12">
        <f>IF(OR(H16="",I16=""),"",I16-H16)</f>
        <v/>
      </c>
      <c r="O16" s="7" t="n"/>
    </row>
    <row r="17">
      <c r="A17" s="14" t="n"/>
      <c r="B17" s="7" t="n"/>
      <c r="C17" s="7" t="n"/>
      <c r="D17" s="7" t="n"/>
      <c r="E17" s="15" t="n"/>
      <c r="F17" s="15" t="n"/>
      <c r="G17" s="15" t="n"/>
      <c r="H17" s="16" t="n"/>
      <c r="I17" s="16" t="n"/>
      <c r="J17" s="12">
        <f>IF(OR(E17="",F17=""),"",ROUND((MOD(F17-E17,1)-N(G17))*24,2))</f>
        <v/>
      </c>
      <c r="K17" s="12">
        <f>IF(OR(A17="",B17=""),"",SUMIFS(Paradas!$F$5:$F$1004,Paradas!$A$5:$A$1004,A17,Paradas!$B$5:$B$1004,B17))</f>
        <v/>
      </c>
      <c r="L17" s="12">
        <f>IF(J17="","",J17-N(K17))</f>
        <v/>
      </c>
      <c r="M17" s="13">
        <f>IF(OR(A17="",B17=""),"",COUNTIFS(Paradas!$A$5:$A$1004,A17,Paradas!$B$5:$B$1004,B17))</f>
        <v/>
      </c>
      <c r="N17" s="12">
        <f>IF(OR(H17="",I17=""),"",I17-H17)</f>
        <v/>
      </c>
      <c r="O17" s="7" t="n"/>
    </row>
    <row r="18">
      <c r="A18" s="14" t="n"/>
      <c r="B18" s="7" t="n"/>
      <c r="C18" s="7" t="n"/>
      <c r="D18" s="7" t="n"/>
      <c r="E18" s="15" t="n"/>
      <c r="F18" s="15" t="n"/>
      <c r="G18" s="15" t="n"/>
      <c r="H18" s="16" t="n"/>
      <c r="I18" s="16" t="n"/>
      <c r="J18" s="12">
        <f>IF(OR(E18="",F18=""),"",ROUND((MOD(F18-E18,1)-N(G18))*24,2))</f>
        <v/>
      </c>
      <c r="K18" s="12">
        <f>IF(OR(A18="",B18=""),"",SUMIFS(Paradas!$F$5:$F$1004,Paradas!$A$5:$A$1004,A18,Paradas!$B$5:$B$1004,B18))</f>
        <v/>
      </c>
      <c r="L18" s="12">
        <f>IF(J18="","",J18-N(K18))</f>
        <v/>
      </c>
      <c r="M18" s="13">
        <f>IF(OR(A18="",B18=""),"",COUNTIFS(Paradas!$A$5:$A$1004,A18,Paradas!$B$5:$B$1004,B18))</f>
        <v/>
      </c>
      <c r="N18" s="12">
        <f>IF(OR(H18="",I18=""),"",I18-H18)</f>
        <v/>
      </c>
      <c r="O18" s="7" t="n"/>
    </row>
    <row r="19">
      <c r="A19" s="14" t="n"/>
      <c r="B19" s="7" t="n"/>
      <c r="C19" s="7" t="n"/>
      <c r="D19" s="7" t="n"/>
      <c r="E19" s="15" t="n"/>
      <c r="F19" s="15" t="n"/>
      <c r="G19" s="15" t="n"/>
      <c r="H19" s="16" t="n"/>
      <c r="I19" s="16" t="n"/>
      <c r="J19" s="12">
        <f>IF(OR(E19="",F19=""),"",ROUND((MOD(F19-E19,1)-N(G19))*24,2))</f>
        <v/>
      </c>
      <c r="K19" s="12">
        <f>IF(OR(A19="",B19=""),"",SUMIFS(Paradas!$F$5:$F$1004,Paradas!$A$5:$A$1004,A19,Paradas!$B$5:$B$1004,B19))</f>
        <v/>
      </c>
      <c r="L19" s="12">
        <f>IF(J19="","",J19-N(K19))</f>
        <v/>
      </c>
      <c r="M19" s="13">
        <f>IF(OR(A19="",B19=""),"",COUNTIFS(Paradas!$A$5:$A$1004,A19,Paradas!$B$5:$B$1004,B19))</f>
        <v/>
      </c>
      <c r="N19" s="12">
        <f>IF(OR(H19="",I19=""),"",I19-H19)</f>
        <v/>
      </c>
      <c r="O19" s="7" t="n"/>
    </row>
    <row r="20">
      <c r="A20" s="14" t="n"/>
      <c r="B20" s="7" t="n"/>
      <c r="C20" s="7" t="n"/>
      <c r="D20" s="7" t="n"/>
      <c r="E20" s="15" t="n"/>
      <c r="F20" s="15" t="n"/>
      <c r="G20" s="15" t="n"/>
      <c r="H20" s="16" t="n"/>
      <c r="I20" s="16" t="n"/>
      <c r="J20" s="12">
        <f>IF(OR(E20="",F20=""),"",ROUND((MOD(F20-E20,1)-N(G20))*24,2))</f>
        <v/>
      </c>
      <c r="K20" s="12">
        <f>IF(OR(A20="",B20=""),"",SUMIFS(Paradas!$F$5:$F$1004,Paradas!$A$5:$A$1004,A20,Paradas!$B$5:$B$1004,B20))</f>
        <v/>
      </c>
      <c r="L20" s="12">
        <f>IF(J20="","",J20-N(K20))</f>
        <v/>
      </c>
      <c r="M20" s="13">
        <f>IF(OR(A20="",B20=""),"",COUNTIFS(Paradas!$A$5:$A$1004,A20,Paradas!$B$5:$B$1004,B20))</f>
        <v/>
      </c>
      <c r="N20" s="12">
        <f>IF(OR(H20="",I20=""),"",I20-H20)</f>
        <v/>
      </c>
      <c r="O20" s="7" t="n"/>
    </row>
    <row r="21">
      <c r="A21" s="14" t="n"/>
      <c r="B21" s="7" t="n"/>
      <c r="C21" s="7" t="n"/>
      <c r="D21" s="7" t="n"/>
      <c r="E21" s="15" t="n"/>
      <c r="F21" s="15" t="n"/>
      <c r="G21" s="15" t="n"/>
      <c r="H21" s="16" t="n"/>
      <c r="I21" s="16" t="n"/>
      <c r="J21" s="12">
        <f>IF(OR(E21="",F21=""),"",ROUND((MOD(F21-E21,1)-N(G21))*24,2))</f>
        <v/>
      </c>
      <c r="K21" s="12">
        <f>IF(OR(A21="",B21=""),"",SUMIFS(Paradas!$F$5:$F$1004,Paradas!$A$5:$A$1004,A21,Paradas!$B$5:$B$1004,B21))</f>
        <v/>
      </c>
      <c r="L21" s="12">
        <f>IF(J21="","",J21-N(K21))</f>
        <v/>
      </c>
      <c r="M21" s="13">
        <f>IF(OR(A21="",B21=""),"",COUNTIFS(Paradas!$A$5:$A$1004,A21,Paradas!$B$5:$B$1004,B21))</f>
        <v/>
      </c>
      <c r="N21" s="12">
        <f>IF(OR(H21="",I21=""),"",I21-H21)</f>
        <v/>
      </c>
      <c r="O21" s="7" t="n"/>
    </row>
    <row r="22">
      <c r="A22" s="14" t="n"/>
      <c r="B22" s="7" t="n"/>
      <c r="C22" s="7" t="n"/>
      <c r="D22" s="7" t="n"/>
      <c r="E22" s="15" t="n"/>
      <c r="F22" s="15" t="n"/>
      <c r="G22" s="15" t="n"/>
      <c r="H22" s="16" t="n"/>
      <c r="I22" s="16" t="n"/>
      <c r="J22" s="12">
        <f>IF(OR(E22="",F22=""),"",ROUND((MOD(F22-E22,1)-N(G22))*24,2))</f>
        <v/>
      </c>
      <c r="K22" s="12">
        <f>IF(OR(A22="",B22=""),"",SUMIFS(Paradas!$F$5:$F$1004,Paradas!$A$5:$A$1004,A22,Paradas!$B$5:$B$1004,B22))</f>
        <v/>
      </c>
      <c r="L22" s="12">
        <f>IF(J22="","",J22-N(K22))</f>
        <v/>
      </c>
      <c r="M22" s="13">
        <f>IF(OR(A22="",B22=""),"",COUNTIFS(Paradas!$A$5:$A$1004,A22,Paradas!$B$5:$B$1004,B22))</f>
        <v/>
      </c>
      <c r="N22" s="12">
        <f>IF(OR(H22="",I22=""),"",I22-H22)</f>
        <v/>
      </c>
      <c r="O22" s="7" t="n"/>
    </row>
    <row r="23">
      <c r="A23" s="14" t="n"/>
      <c r="B23" s="7" t="n"/>
      <c r="C23" s="7" t="n"/>
      <c r="D23" s="7" t="n"/>
      <c r="E23" s="15" t="n"/>
      <c r="F23" s="15" t="n"/>
      <c r="G23" s="15" t="n"/>
      <c r="H23" s="16" t="n"/>
      <c r="I23" s="16" t="n"/>
      <c r="J23" s="12">
        <f>IF(OR(E23="",F23=""),"",ROUND((MOD(F23-E23,1)-N(G23))*24,2))</f>
        <v/>
      </c>
      <c r="K23" s="12">
        <f>IF(OR(A23="",B23=""),"",SUMIFS(Paradas!$F$5:$F$1004,Paradas!$A$5:$A$1004,A23,Paradas!$B$5:$B$1004,B23))</f>
        <v/>
      </c>
      <c r="L23" s="12">
        <f>IF(J23="","",J23-N(K23))</f>
        <v/>
      </c>
      <c r="M23" s="13">
        <f>IF(OR(A23="",B23=""),"",COUNTIFS(Paradas!$A$5:$A$1004,A23,Paradas!$B$5:$B$1004,B23))</f>
        <v/>
      </c>
      <c r="N23" s="12">
        <f>IF(OR(H23="",I23=""),"",I23-H23)</f>
        <v/>
      </c>
      <c r="O23" s="7" t="n"/>
    </row>
    <row r="24">
      <c r="A24" s="14" t="n"/>
      <c r="B24" s="7" t="n"/>
      <c r="C24" s="7" t="n"/>
      <c r="D24" s="7" t="n"/>
      <c r="E24" s="15" t="n"/>
      <c r="F24" s="15" t="n"/>
      <c r="G24" s="15" t="n"/>
      <c r="H24" s="16" t="n"/>
      <c r="I24" s="16" t="n"/>
      <c r="J24" s="12">
        <f>IF(OR(E24="",F24=""),"",ROUND((MOD(F24-E24,1)-N(G24))*24,2))</f>
        <v/>
      </c>
      <c r="K24" s="12">
        <f>IF(OR(A24="",B24=""),"",SUMIFS(Paradas!$F$5:$F$1004,Paradas!$A$5:$A$1004,A24,Paradas!$B$5:$B$1004,B24))</f>
        <v/>
      </c>
      <c r="L24" s="12">
        <f>IF(J24="","",J24-N(K24))</f>
        <v/>
      </c>
      <c r="M24" s="13">
        <f>IF(OR(A24="",B24=""),"",COUNTIFS(Paradas!$A$5:$A$1004,A24,Paradas!$B$5:$B$1004,B24))</f>
        <v/>
      </c>
      <c r="N24" s="12">
        <f>IF(OR(H24="",I24=""),"",I24-H24)</f>
        <v/>
      </c>
      <c r="O24" s="7" t="n"/>
    </row>
    <row r="25">
      <c r="A25" s="14" t="n"/>
      <c r="B25" s="7" t="n"/>
      <c r="C25" s="7" t="n"/>
      <c r="D25" s="7" t="n"/>
      <c r="E25" s="15" t="n"/>
      <c r="F25" s="15" t="n"/>
      <c r="G25" s="15" t="n"/>
      <c r="H25" s="16" t="n"/>
      <c r="I25" s="16" t="n"/>
      <c r="J25" s="12">
        <f>IF(OR(E25="",F25=""),"",ROUND((MOD(F25-E25,1)-N(G25))*24,2))</f>
        <v/>
      </c>
      <c r="K25" s="12">
        <f>IF(OR(A25="",B25=""),"",SUMIFS(Paradas!$F$5:$F$1004,Paradas!$A$5:$A$1004,A25,Paradas!$B$5:$B$1004,B25))</f>
        <v/>
      </c>
      <c r="L25" s="12">
        <f>IF(J25="","",J25-N(K25))</f>
        <v/>
      </c>
      <c r="M25" s="13">
        <f>IF(OR(A25="",B25=""),"",COUNTIFS(Paradas!$A$5:$A$1004,A25,Paradas!$B$5:$B$1004,B25))</f>
        <v/>
      </c>
      <c r="N25" s="12">
        <f>IF(OR(H25="",I25=""),"",I25-H25)</f>
        <v/>
      </c>
      <c r="O25" s="7" t="n"/>
    </row>
    <row r="26">
      <c r="A26" s="14" t="n"/>
      <c r="B26" s="7" t="n"/>
      <c r="C26" s="7" t="n"/>
      <c r="D26" s="7" t="n"/>
      <c r="E26" s="15" t="n"/>
      <c r="F26" s="15" t="n"/>
      <c r="G26" s="15" t="n"/>
      <c r="H26" s="16" t="n"/>
      <c r="I26" s="16" t="n"/>
      <c r="J26" s="12">
        <f>IF(OR(E26="",F26=""),"",ROUND((MOD(F26-E26,1)-N(G26))*24,2))</f>
        <v/>
      </c>
      <c r="K26" s="12">
        <f>IF(OR(A26="",B26=""),"",SUMIFS(Paradas!$F$5:$F$1004,Paradas!$A$5:$A$1004,A26,Paradas!$B$5:$B$1004,B26))</f>
        <v/>
      </c>
      <c r="L26" s="12">
        <f>IF(J26="","",J26-N(K26))</f>
        <v/>
      </c>
      <c r="M26" s="13">
        <f>IF(OR(A26="",B26=""),"",COUNTIFS(Paradas!$A$5:$A$1004,A26,Paradas!$B$5:$B$1004,B26))</f>
        <v/>
      </c>
      <c r="N26" s="12">
        <f>IF(OR(H26="",I26=""),"",I26-H26)</f>
        <v/>
      </c>
      <c r="O26" s="7" t="n"/>
    </row>
    <row r="27">
      <c r="A27" s="14" t="n"/>
      <c r="B27" s="7" t="n"/>
      <c r="C27" s="7" t="n"/>
      <c r="D27" s="7" t="n"/>
      <c r="E27" s="15" t="n"/>
      <c r="F27" s="15" t="n"/>
      <c r="G27" s="15" t="n"/>
      <c r="H27" s="16" t="n"/>
      <c r="I27" s="16" t="n"/>
      <c r="J27" s="12">
        <f>IF(OR(E27="",F27=""),"",ROUND((MOD(F27-E27,1)-N(G27))*24,2))</f>
        <v/>
      </c>
      <c r="K27" s="12">
        <f>IF(OR(A27="",B27=""),"",SUMIFS(Paradas!$F$5:$F$1004,Paradas!$A$5:$A$1004,A27,Paradas!$B$5:$B$1004,B27))</f>
        <v/>
      </c>
      <c r="L27" s="12">
        <f>IF(J27="","",J27-N(K27))</f>
        <v/>
      </c>
      <c r="M27" s="13">
        <f>IF(OR(A27="",B27=""),"",COUNTIFS(Paradas!$A$5:$A$1004,A27,Paradas!$B$5:$B$1004,B27))</f>
        <v/>
      </c>
      <c r="N27" s="12">
        <f>IF(OR(H27="",I27=""),"",I27-H27)</f>
        <v/>
      </c>
      <c r="O27" s="7" t="n"/>
    </row>
    <row r="28">
      <c r="A28" s="14" t="n"/>
      <c r="B28" s="7" t="n"/>
      <c r="C28" s="7" t="n"/>
      <c r="D28" s="7" t="n"/>
      <c r="E28" s="15" t="n"/>
      <c r="F28" s="15" t="n"/>
      <c r="G28" s="15" t="n"/>
      <c r="H28" s="16" t="n"/>
      <c r="I28" s="16" t="n"/>
      <c r="J28" s="12">
        <f>IF(OR(E28="",F28=""),"",ROUND((MOD(F28-E28,1)-N(G28))*24,2))</f>
        <v/>
      </c>
      <c r="K28" s="12">
        <f>IF(OR(A28="",B28=""),"",SUMIFS(Paradas!$F$5:$F$1004,Paradas!$A$5:$A$1004,A28,Paradas!$B$5:$B$1004,B28))</f>
        <v/>
      </c>
      <c r="L28" s="12">
        <f>IF(J28="","",J28-N(K28))</f>
        <v/>
      </c>
      <c r="M28" s="13">
        <f>IF(OR(A28="",B28=""),"",COUNTIFS(Paradas!$A$5:$A$1004,A28,Paradas!$B$5:$B$1004,B28))</f>
        <v/>
      </c>
      <c r="N28" s="12">
        <f>IF(OR(H28="",I28=""),"",I28-H28)</f>
        <v/>
      </c>
      <c r="O28" s="7" t="n"/>
    </row>
    <row r="29">
      <c r="A29" s="14" t="n"/>
      <c r="B29" s="7" t="n"/>
      <c r="C29" s="7" t="n"/>
      <c r="D29" s="7" t="n"/>
      <c r="E29" s="15" t="n"/>
      <c r="F29" s="15" t="n"/>
      <c r="G29" s="15" t="n"/>
      <c r="H29" s="16" t="n"/>
      <c r="I29" s="16" t="n"/>
      <c r="J29" s="12">
        <f>IF(OR(E29="",F29=""),"",ROUND((MOD(F29-E29,1)-N(G29))*24,2))</f>
        <v/>
      </c>
      <c r="K29" s="12">
        <f>IF(OR(A29="",B29=""),"",SUMIFS(Paradas!$F$5:$F$1004,Paradas!$A$5:$A$1004,A29,Paradas!$B$5:$B$1004,B29))</f>
        <v/>
      </c>
      <c r="L29" s="12">
        <f>IF(J29="","",J29-N(K29))</f>
        <v/>
      </c>
      <c r="M29" s="13">
        <f>IF(OR(A29="",B29=""),"",COUNTIFS(Paradas!$A$5:$A$1004,A29,Paradas!$B$5:$B$1004,B29))</f>
        <v/>
      </c>
      <c r="N29" s="12">
        <f>IF(OR(H29="",I29=""),"",I29-H29)</f>
        <v/>
      </c>
      <c r="O29" s="7" t="n"/>
    </row>
    <row r="30">
      <c r="A30" s="14" t="n"/>
      <c r="B30" s="7" t="n"/>
      <c r="C30" s="7" t="n"/>
      <c r="D30" s="7" t="n"/>
      <c r="E30" s="15" t="n"/>
      <c r="F30" s="15" t="n"/>
      <c r="G30" s="15" t="n"/>
      <c r="H30" s="16" t="n"/>
      <c r="I30" s="16" t="n"/>
      <c r="J30" s="12">
        <f>IF(OR(E30="",F30=""),"",ROUND((MOD(F30-E30,1)-N(G30))*24,2))</f>
        <v/>
      </c>
      <c r="K30" s="12">
        <f>IF(OR(A30="",B30=""),"",SUMIFS(Paradas!$F$5:$F$1004,Paradas!$A$5:$A$1004,A30,Paradas!$B$5:$B$1004,B30))</f>
        <v/>
      </c>
      <c r="L30" s="12">
        <f>IF(J30="","",J30-N(K30))</f>
        <v/>
      </c>
      <c r="M30" s="13">
        <f>IF(OR(A30="",B30=""),"",COUNTIFS(Paradas!$A$5:$A$1004,A30,Paradas!$B$5:$B$1004,B30))</f>
        <v/>
      </c>
      <c r="N30" s="12">
        <f>IF(OR(H30="",I30=""),"",I30-H30)</f>
        <v/>
      </c>
      <c r="O30" s="7" t="n"/>
    </row>
    <row r="31">
      <c r="A31" s="14" t="n"/>
      <c r="B31" s="7" t="n"/>
      <c r="C31" s="7" t="n"/>
      <c r="D31" s="7" t="n"/>
      <c r="E31" s="15" t="n"/>
      <c r="F31" s="15" t="n"/>
      <c r="G31" s="15" t="n"/>
      <c r="H31" s="16" t="n"/>
      <c r="I31" s="16" t="n"/>
      <c r="J31" s="12">
        <f>IF(OR(E31="",F31=""),"",ROUND((MOD(F31-E31,1)-N(G31))*24,2))</f>
        <v/>
      </c>
      <c r="K31" s="12">
        <f>IF(OR(A31="",B31=""),"",SUMIFS(Paradas!$F$5:$F$1004,Paradas!$A$5:$A$1004,A31,Paradas!$B$5:$B$1004,B31))</f>
        <v/>
      </c>
      <c r="L31" s="12">
        <f>IF(J31="","",J31-N(K31))</f>
        <v/>
      </c>
      <c r="M31" s="13">
        <f>IF(OR(A31="",B31=""),"",COUNTIFS(Paradas!$A$5:$A$1004,A31,Paradas!$B$5:$B$1004,B31))</f>
        <v/>
      </c>
      <c r="N31" s="12">
        <f>IF(OR(H31="",I31=""),"",I31-H31)</f>
        <v/>
      </c>
      <c r="O31" s="7" t="n"/>
    </row>
    <row r="32">
      <c r="A32" s="14" t="n"/>
      <c r="B32" s="7" t="n"/>
      <c r="C32" s="7" t="n"/>
      <c r="D32" s="7" t="n"/>
      <c r="E32" s="15" t="n"/>
      <c r="F32" s="15" t="n"/>
      <c r="G32" s="15" t="n"/>
      <c r="H32" s="16" t="n"/>
      <c r="I32" s="16" t="n"/>
      <c r="J32" s="12">
        <f>IF(OR(E32="",F32=""),"",ROUND((MOD(F32-E32,1)-N(G32))*24,2))</f>
        <v/>
      </c>
      <c r="K32" s="12">
        <f>IF(OR(A32="",B32=""),"",SUMIFS(Paradas!$F$5:$F$1004,Paradas!$A$5:$A$1004,A32,Paradas!$B$5:$B$1004,B32))</f>
        <v/>
      </c>
      <c r="L32" s="12">
        <f>IF(J32="","",J32-N(K32))</f>
        <v/>
      </c>
      <c r="M32" s="13">
        <f>IF(OR(A32="",B32=""),"",COUNTIFS(Paradas!$A$5:$A$1004,A32,Paradas!$B$5:$B$1004,B32))</f>
        <v/>
      </c>
      <c r="N32" s="12">
        <f>IF(OR(H32="",I32=""),"",I32-H32)</f>
        <v/>
      </c>
      <c r="O32" s="7" t="n"/>
    </row>
    <row r="33">
      <c r="A33" s="14" t="n"/>
      <c r="B33" s="7" t="n"/>
      <c r="C33" s="7" t="n"/>
      <c r="D33" s="7" t="n"/>
      <c r="E33" s="15" t="n"/>
      <c r="F33" s="15" t="n"/>
      <c r="G33" s="15" t="n"/>
      <c r="H33" s="16" t="n"/>
      <c r="I33" s="16" t="n"/>
      <c r="J33" s="12">
        <f>IF(OR(E33="",F33=""),"",ROUND((MOD(F33-E33,1)-N(G33))*24,2))</f>
        <v/>
      </c>
      <c r="K33" s="12">
        <f>IF(OR(A33="",B33=""),"",SUMIFS(Paradas!$F$5:$F$1004,Paradas!$A$5:$A$1004,A33,Paradas!$B$5:$B$1004,B33))</f>
        <v/>
      </c>
      <c r="L33" s="12">
        <f>IF(J33="","",J33-N(K33))</f>
        <v/>
      </c>
      <c r="M33" s="13">
        <f>IF(OR(A33="",B33=""),"",COUNTIFS(Paradas!$A$5:$A$1004,A33,Paradas!$B$5:$B$1004,B33))</f>
        <v/>
      </c>
      <c r="N33" s="12">
        <f>IF(OR(H33="",I33=""),"",I33-H33)</f>
        <v/>
      </c>
      <c r="O33" s="7" t="n"/>
    </row>
    <row r="34">
      <c r="A34" s="14" t="n"/>
      <c r="B34" s="7" t="n"/>
      <c r="C34" s="7" t="n"/>
      <c r="D34" s="7" t="n"/>
      <c r="E34" s="15" t="n"/>
      <c r="F34" s="15" t="n"/>
      <c r="G34" s="15" t="n"/>
      <c r="H34" s="16" t="n"/>
      <c r="I34" s="16" t="n"/>
      <c r="J34" s="12">
        <f>IF(OR(E34="",F34=""),"",ROUND((MOD(F34-E34,1)-N(G34))*24,2))</f>
        <v/>
      </c>
      <c r="K34" s="12">
        <f>IF(OR(A34="",B34=""),"",SUMIFS(Paradas!$F$5:$F$1004,Paradas!$A$5:$A$1004,A34,Paradas!$B$5:$B$1004,B34))</f>
        <v/>
      </c>
      <c r="L34" s="12">
        <f>IF(J34="","",J34-N(K34))</f>
        <v/>
      </c>
      <c r="M34" s="13">
        <f>IF(OR(A34="",B34=""),"",COUNTIFS(Paradas!$A$5:$A$1004,A34,Paradas!$B$5:$B$1004,B34))</f>
        <v/>
      </c>
      <c r="N34" s="12">
        <f>IF(OR(H34="",I34=""),"",I34-H34)</f>
        <v/>
      </c>
      <c r="O34" s="7" t="n"/>
    </row>
    <row r="35">
      <c r="A35" s="14" t="n"/>
      <c r="B35" s="7" t="n"/>
      <c r="C35" s="7" t="n"/>
      <c r="D35" s="7" t="n"/>
      <c r="E35" s="15" t="n"/>
      <c r="F35" s="15" t="n"/>
      <c r="G35" s="15" t="n"/>
      <c r="H35" s="16" t="n"/>
      <c r="I35" s="16" t="n"/>
      <c r="J35" s="12">
        <f>IF(OR(E35="",F35=""),"",ROUND((MOD(F35-E35,1)-N(G35))*24,2))</f>
        <v/>
      </c>
      <c r="K35" s="12">
        <f>IF(OR(A35="",B35=""),"",SUMIFS(Paradas!$F$5:$F$1004,Paradas!$A$5:$A$1004,A35,Paradas!$B$5:$B$1004,B35))</f>
        <v/>
      </c>
      <c r="L35" s="12">
        <f>IF(J35="","",J35-N(K35))</f>
        <v/>
      </c>
      <c r="M35" s="13">
        <f>IF(OR(A35="",B35=""),"",COUNTIFS(Paradas!$A$5:$A$1004,A35,Paradas!$B$5:$B$1004,B35))</f>
        <v/>
      </c>
      <c r="N35" s="12">
        <f>IF(OR(H35="",I35=""),"",I35-H35)</f>
        <v/>
      </c>
      <c r="O35" s="7" t="n"/>
    </row>
    <row r="36">
      <c r="A36" s="14" t="n"/>
      <c r="B36" s="7" t="n"/>
      <c r="C36" s="7" t="n"/>
      <c r="D36" s="7" t="n"/>
      <c r="E36" s="15" t="n"/>
      <c r="F36" s="15" t="n"/>
      <c r="G36" s="15" t="n"/>
      <c r="H36" s="16" t="n"/>
      <c r="I36" s="16" t="n"/>
      <c r="J36" s="12">
        <f>IF(OR(E36="",F36=""),"",ROUND((MOD(F36-E36,1)-N(G36))*24,2))</f>
        <v/>
      </c>
      <c r="K36" s="12">
        <f>IF(OR(A36="",B36=""),"",SUMIFS(Paradas!$F$5:$F$1004,Paradas!$A$5:$A$1004,A36,Paradas!$B$5:$B$1004,B36))</f>
        <v/>
      </c>
      <c r="L36" s="12">
        <f>IF(J36="","",J36-N(K36))</f>
        <v/>
      </c>
      <c r="M36" s="13">
        <f>IF(OR(A36="",B36=""),"",COUNTIFS(Paradas!$A$5:$A$1004,A36,Paradas!$B$5:$B$1004,B36))</f>
        <v/>
      </c>
      <c r="N36" s="12">
        <f>IF(OR(H36="",I36=""),"",I36-H36)</f>
        <v/>
      </c>
      <c r="O36" s="7" t="n"/>
    </row>
    <row r="37">
      <c r="A37" s="14" t="n"/>
      <c r="B37" s="7" t="n"/>
      <c r="C37" s="7" t="n"/>
      <c r="D37" s="7" t="n"/>
      <c r="E37" s="15" t="n"/>
      <c r="F37" s="15" t="n"/>
      <c r="G37" s="15" t="n"/>
      <c r="H37" s="16" t="n"/>
      <c r="I37" s="16" t="n"/>
      <c r="J37" s="12">
        <f>IF(OR(E37="",F37=""),"",ROUND((MOD(F37-E37,1)-N(G37))*24,2))</f>
        <v/>
      </c>
      <c r="K37" s="12">
        <f>IF(OR(A37="",B37=""),"",SUMIFS(Paradas!$F$5:$F$1004,Paradas!$A$5:$A$1004,A37,Paradas!$B$5:$B$1004,B37))</f>
        <v/>
      </c>
      <c r="L37" s="12">
        <f>IF(J37="","",J37-N(K37))</f>
        <v/>
      </c>
      <c r="M37" s="13">
        <f>IF(OR(A37="",B37=""),"",COUNTIFS(Paradas!$A$5:$A$1004,A37,Paradas!$B$5:$B$1004,B37))</f>
        <v/>
      </c>
      <c r="N37" s="12">
        <f>IF(OR(H37="",I37=""),"",I37-H37)</f>
        <v/>
      </c>
      <c r="O37" s="7" t="n"/>
    </row>
    <row r="38">
      <c r="A38" s="14" t="n"/>
      <c r="B38" s="7" t="n"/>
      <c r="C38" s="7" t="n"/>
      <c r="D38" s="7" t="n"/>
      <c r="E38" s="15" t="n"/>
      <c r="F38" s="15" t="n"/>
      <c r="G38" s="15" t="n"/>
      <c r="H38" s="16" t="n"/>
      <c r="I38" s="16" t="n"/>
      <c r="J38" s="12">
        <f>IF(OR(E38="",F38=""),"",ROUND((MOD(F38-E38,1)-N(G38))*24,2))</f>
        <v/>
      </c>
      <c r="K38" s="12">
        <f>IF(OR(A38="",B38=""),"",SUMIFS(Paradas!$F$5:$F$1004,Paradas!$A$5:$A$1004,A38,Paradas!$B$5:$B$1004,B38))</f>
        <v/>
      </c>
      <c r="L38" s="12">
        <f>IF(J38="","",J38-N(K38))</f>
        <v/>
      </c>
      <c r="M38" s="13">
        <f>IF(OR(A38="",B38=""),"",COUNTIFS(Paradas!$A$5:$A$1004,A38,Paradas!$B$5:$B$1004,B38))</f>
        <v/>
      </c>
      <c r="N38" s="12">
        <f>IF(OR(H38="",I38=""),"",I38-H38)</f>
        <v/>
      </c>
      <c r="O38" s="7" t="n"/>
    </row>
    <row r="39">
      <c r="A39" s="14" t="n"/>
      <c r="B39" s="7" t="n"/>
      <c r="C39" s="7" t="n"/>
      <c r="D39" s="7" t="n"/>
      <c r="E39" s="15" t="n"/>
      <c r="F39" s="15" t="n"/>
      <c r="G39" s="15" t="n"/>
      <c r="H39" s="16" t="n"/>
      <c r="I39" s="16" t="n"/>
      <c r="J39" s="12">
        <f>IF(OR(E39="",F39=""),"",ROUND((MOD(F39-E39,1)-N(G39))*24,2))</f>
        <v/>
      </c>
      <c r="K39" s="12">
        <f>IF(OR(A39="",B39=""),"",SUMIFS(Paradas!$F$5:$F$1004,Paradas!$A$5:$A$1004,A39,Paradas!$B$5:$B$1004,B39))</f>
        <v/>
      </c>
      <c r="L39" s="12">
        <f>IF(J39="","",J39-N(K39))</f>
        <v/>
      </c>
      <c r="M39" s="13">
        <f>IF(OR(A39="",B39=""),"",COUNTIFS(Paradas!$A$5:$A$1004,A39,Paradas!$B$5:$B$1004,B39))</f>
        <v/>
      </c>
      <c r="N39" s="12">
        <f>IF(OR(H39="",I39=""),"",I39-H39)</f>
        <v/>
      </c>
      <c r="O39" s="7" t="n"/>
    </row>
    <row r="40">
      <c r="A40" s="14" t="n"/>
      <c r="B40" s="7" t="n"/>
      <c r="C40" s="7" t="n"/>
      <c r="D40" s="7" t="n"/>
      <c r="E40" s="15" t="n"/>
      <c r="F40" s="15" t="n"/>
      <c r="G40" s="15" t="n"/>
      <c r="H40" s="16" t="n"/>
      <c r="I40" s="16" t="n"/>
      <c r="J40" s="12">
        <f>IF(OR(E40="",F40=""),"",ROUND((MOD(F40-E40,1)-N(G40))*24,2))</f>
        <v/>
      </c>
      <c r="K40" s="12">
        <f>IF(OR(A40="",B40=""),"",SUMIFS(Paradas!$F$5:$F$1004,Paradas!$A$5:$A$1004,A40,Paradas!$B$5:$B$1004,B40))</f>
        <v/>
      </c>
      <c r="L40" s="12">
        <f>IF(J40="","",J40-N(K40))</f>
        <v/>
      </c>
      <c r="M40" s="13">
        <f>IF(OR(A40="",B40=""),"",COUNTIFS(Paradas!$A$5:$A$1004,A40,Paradas!$B$5:$B$1004,B40))</f>
        <v/>
      </c>
      <c r="N40" s="12">
        <f>IF(OR(H40="",I40=""),"",I40-H40)</f>
        <v/>
      </c>
      <c r="O40" s="7" t="n"/>
    </row>
    <row r="41">
      <c r="A41" s="14" t="n"/>
      <c r="B41" s="7" t="n"/>
      <c r="C41" s="7" t="n"/>
      <c r="D41" s="7" t="n"/>
      <c r="E41" s="15" t="n"/>
      <c r="F41" s="15" t="n"/>
      <c r="G41" s="15" t="n"/>
      <c r="H41" s="16" t="n"/>
      <c r="I41" s="16" t="n"/>
      <c r="J41" s="12">
        <f>IF(OR(E41="",F41=""),"",ROUND((MOD(F41-E41,1)-N(G41))*24,2))</f>
        <v/>
      </c>
      <c r="K41" s="12">
        <f>IF(OR(A41="",B41=""),"",SUMIFS(Paradas!$F$5:$F$1004,Paradas!$A$5:$A$1004,A41,Paradas!$B$5:$B$1004,B41))</f>
        <v/>
      </c>
      <c r="L41" s="12">
        <f>IF(J41="","",J41-N(K41))</f>
        <v/>
      </c>
      <c r="M41" s="13">
        <f>IF(OR(A41="",B41=""),"",COUNTIFS(Paradas!$A$5:$A$1004,A41,Paradas!$B$5:$B$1004,B41))</f>
        <v/>
      </c>
      <c r="N41" s="12">
        <f>IF(OR(H41="",I41=""),"",I41-H41)</f>
        <v/>
      </c>
      <c r="O41" s="7" t="n"/>
    </row>
    <row r="42">
      <c r="A42" s="14" t="n"/>
      <c r="B42" s="7" t="n"/>
      <c r="C42" s="7" t="n"/>
      <c r="D42" s="7" t="n"/>
      <c r="E42" s="15" t="n"/>
      <c r="F42" s="15" t="n"/>
      <c r="G42" s="15" t="n"/>
      <c r="H42" s="16" t="n"/>
      <c r="I42" s="16" t="n"/>
      <c r="J42" s="12">
        <f>IF(OR(E42="",F42=""),"",ROUND((MOD(F42-E42,1)-N(G42))*24,2))</f>
        <v/>
      </c>
      <c r="K42" s="12">
        <f>IF(OR(A42="",B42=""),"",SUMIFS(Paradas!$F$5:$F$1004,Paradas!$A$5:$A$1004,A42,Paradas!$B$5:$B$1004,B42))</f>
        <v/>
      </c>
      <c r="L42" s="12">
        <f>IF(J42="","",J42-N(K42))</f>
        <v/>
      </c>
      <c r="M42" s="13">
        <f>IF(OR(A42="",B42=""),"",COUNTIFS(Paradas!$A$5:$A$1004,A42,Paradas!$B$5:$B$1004,B42))</f>
        <v/>
      </c>
      <c r="N42" s="12">
        <f>IF(OR(H42="",I42=""),"",I42-H42)</f>
        <v/>
      </c>
      <c r="O42" s="7" t="n"/>
    </row>
    <row r="43">
      <c r="A43" s="14" t="n"/>
      <c r="B43" s="7" t="n"/>
      <c r="C43" s="7" t="n"/>
      <c r="D43" s="7" t="n"/>
      <c r="E43" s="15" t="n"/>
      <c r="F43" s="15" t="n"/>
      <c r="G43" s="15" t="n"/>
      <c r="H43" s="16" t="n"/>
      <c r="I43" s="16" t="n"/>
      <c r="J43" s="12">
        <f>IF(OR(E43="",F43=""),"",ROUND((MOD(F43-E43,1)-N(G43))*24,2))</f>
        <v/>
      </c>
      <c r="K43" s="12">
        <f>IF(OR(A43="",B43=""),"",SUMIFS(Paradas!$F$5:$F$1004,Paradas!$A$5:$A$1004,A43,Paradas!$B$5:$B$1004,B43))</f>
        <v/>
      </c>
      <c r="L43" s="12">
        <f>IF(J43="","",J43-N(K43))</f>
        <v/>
      </c>
      <c r="M43" s="13">
        <f>IF(OR(A43="",B43=""),"",COUNTIFS(Paradas!$A$5:$A$1004,A43,Paradas!$B$5:$B$1004,B43))</f>
        <v/>
      </c>
      <c r="N43" s="12">
        <f>IF(OR(H43="",I43=""),"",I43-H43)</f>
        <v/>
      </c>
      <c r="O43" s="7" t="n"/>
    </row>
    <row r="44">
      <c r="A44" s="14" t="n"/>
      <c r="B44" s="7" t="n"/>
      <c r="C44" s="7" t="n"/>
      <c r="D44" s="7" t="n"/>
      <c r="E44" s="15" t="n"/>
      <c r="F44" s="15" t="n"/>
      <c r="G44" s="15" t="n"/>
      <c r="H44" s="16" t="n"/>
      <c r="I44" s="16" t="n"/>
      <c r="J44" s="12">
        <f>IF(OR(E44="",F44=""),"",ROUND((MOD(F44-E44,1)-N(G44))*24,2))</f>
        <v/>
      </c>
      <c r="K44" s="12">
        <f>IF(OR(A44="",B44=""),"",SUMIFS(Paradas!$F$5:$F$1004,Paradas!$A$5:$A$1004,A44,Paradas!$B$5:$B$1004,B44))</f>
        <v/>
      </c>
      <c r="L44" s="12">
        <f>IF(J44="","",J44-N(K44))</f>
        <v/>
      </c>
      <c r="M44" s="13">
        <f>IF(OR(A44="",B44=""),"",COUNTIFS(Paradas!$A$5:$A$1004,A44,Paradas!$B$5:$B$1004,B44))</f>
        <v/>
      </c>
      <c r="N44" s="12">
        <f>IF(OR(H44="",I44=""),"",I44-H44)</f>
        <v/>
      </c>
      <c r="O44" s="7" t="n"/>
    </row>
    <row r="45">
      <c r="A45" s="14" t="n"/>
      <c r="B45" s="7" t="n"/>
      <c r="C45" s="7" t="n"/>
      <c r="D45" s="7" t="n"/>
      <c r="E45" s="15" t="n"/>
      <c r="F45" s="15" t="n"/>
      <c r="G45" s="15" t="n"/>
      <c r="H45" s="16" t="n"/>
      <c r="I45" s="16" t="n"/>
      <c r="J45" s="12">
        <f>IF(OR(E45="",F45=""),"",ROUND((MOD(F45-E45,1)-N(G45))*24,2))</f>
        <v/>
      </c>
      <c r="K45" s="12">
        <f>IF(OR(A45="",B45=""),"",SUMIFS(Paradas!$F$5:$F$1004,Paradas!$A$5:$A$1004,A45,Paradas!$B$5:$B$1004,B45))</f>
        <v/>
      </c>
      <c r="L45" s="12">
        <f>IF(J45="","",J45-N(K45))</f>
        <v/>
      </c>
      <c r="M45" s="13">
        <f>IF(OR(A45="",B45=""),"",COUNTIFS(Paradas!$A$5:$A$1004,A45,Paradas!$B$5:$B$1004,B45))</f>
        <v/>
      </c>
      <c r="N45" s="12">
        <f>IF(OR(H45="",I45=""),"",I45-H45)</f>
        <v/>
      </c>
      <c r="O45" s="7" t="n"/>
    </row>
    <row r="46">
      <c r="A46" s="14" t="n"/>
      <c r="B46" s="7" t="n"/>
      <c r="C46" s="7" t="n"/>
      <c r="D46" s="7" t="n"/>
      <c r="E46" s="15" t="n"/>
      <c r="F46" s="15" t="n"/>
      <c r="G46" s="15" t="n"/>
      <c r="H46" s="16" t="n"/>
      <c r="I46" s="16" t="n"/>
      <c r="J46" s="12">
        <f>IF(OR(E46="",F46=""),"",ROUND((MOD(F46-E46,1)-N(G46))*24,2))</f>
        <v/>
      </c>
      <c r="K46" s="12">
        <f>IF(OR(A46="",B46=""),"",SUMIFS(Paradas!$F$5:$F$1004,Paradas!$A$5:$A$1004,A46,Paradas!$B$5:$B$1004,B46))</f>
        <v/>
      </c>
      <c r="L46" s="12">
        <f>IF(J46="","",J46-N(K46))</f>
        <v/>
      </c>
      <c r="M46" s="13">
        <f>IF(OR(A46="",B46=""),"",COUNTIFS(Paradas!$A$5:$A$1004,A46,Paradas!$B$5:$B$1004,B46))</f>
        <v/>
      </c>
      <c r="N46" s="12">
        <f>IF(OR(H46="",I46=""),"",I46-H46)</f>
        <v/>
      </c>
      <c r="O46" s="7" t="n"/>
    </row>
    <row r="47">
      <c r="A47" s="14" t="n"/>
      <c r="B47" s="7" t="n"/>
      <c r="C47" s="7" t="n"/>
      <c r="D47" s="7" t="n"/>
      <c r="E47" s="15" t="n"/>
      <c r="F47" s="15" t="n"/>
      <c r="G47" s="15" t="n"/>
      <c r="H47" s="16" t="n"/>
      <c r="I47" s="16" t="n"/>
      <c r="J47" s="12">
        <f>IF(OR(E47="",F47=""),"",ROUND((MOD(F47-E47,1)-N(G47))*24,2))</f>
        <v/>
      </c>
      <c r="K47" s="12">
        <f>IF(OR(A47="",B47=""),"",SUMIFS(Paradas!$F$5:$F$1004,Paradas!$A$5:$A$1004,A47,Paradas!$B$5:$B$1004,B47))</f>
        <v/>
      </c>
      <c r="L47" s="12">
        <f>IF(J47="","",J47-N(K47))</f>
        <v/>
      </c>
      <c r="M47" s="13">
        <f>IF(OR(A47="",B47=""),"",COUNTIFS(Paradas!$A$5:$A$1004,A47,Paradas!$B$5:$B$1004,B47))</f>
        <v/>
      </c>
      <c r="N47" s="12">
        <f>IF(OR(H47="",I47=""),"",I47-H47)</f>
        <v/>
      </c>
      <c r="O47" s="7" t="n"/>
    </row>
    <row r="48">
      <c r="A48" s="14" t="n"/>
      <c r="B48" s="7" t="n"/>
      <c r="C48" s="7" t="n"/>
      <c r="D48" s="7" t="n"/>
      <c r="E48" s="15" t="n"/>
      <c r="F48" s="15" t="n"/>
      <c r="G48" s="15" t="n"/>
      <c r="H48" s="16" t="n"/>
      <c r="I48" s="16" t="n"/>
      <c r="J48" s="12">
        <f>IF(OR(E48="",F48=""),"",ROUND((MOD(F48-E48,1)-N(G48))*24,2))</f>
        <v/>
      </c>
      <c r="K48" s="12">
        <f>IF(OR(A48="",B48=""),"",SUMIFS(Paradas!$F$5:$F$1004,Paradas!$A$5:$A$1004,A48,Paradas!$B$5:$B$1004,B48))</f>
        <v/>
      </c>
      <c r="L48" s="12">
        <f>IF(J48="","",J48-N(K48))</f>
        <v/>
      </c>
      <c r="M48" s="13">
        <f>IF(OR(A48="",B48=""),"",COUNTIFS(Paradas!$A$5:$A$1004,A48,Paradas!$B$5:$B$1004,B48))</f>
        <v/>
      </c>
      <c r="N48" s="12">
        <f>IF(OR(H48="",I48=""),"",I48-H48)</f>
        <v/>
      </c>
      <c r="O48" s="7" t="n"/>
    </row>
    <row r="49">
      <c r="A49" s="14" t="n"/>
      <c r="B49" s="7" t="n"/>
      <c r="C49" s="7" t="n"/>
      <c r="D49" s="7" t="n"/>
      <c r="E49" s="15" t="n"/>
      <c r="F49" s="15" t="n"/>
      <c r="G49" s="15" t="n"/>
      <c r="H49" s="16" t="n"/>
      <c r="I49" s="16" t="n"/>
      <c r="J49" s="12">
        <f>IF(OR(E49="",F49=""),"",ROUND((MOD(F49-E49,1)-N(G49))*24,2))</f>
        <v/>
      </c>
      <c r="K49" s="12">
        <f>IF(OR(A49="",B49=""),"",SUMIFS(Paradas!$F$5:$F$1004,Paradas!$A$5:$A$1004,A49,Paradas!$B$5:$B$1004,B49))</f>
        <v/>
      </c>
      <c r="L49" s="12">
        <f>IF(J49="","",J49-N(K49))</f>
        <v/>
      </c>
      <c r="M49" s="13">
        <f>IF(OR(A49="",B49=""),"",COUNTIFS(Paradas!$A$5:$A$1004,A49,Paradas!$B$5:$B$1004,B49))</f>
        <v/>
      </c>
      <c r="N49" s="12">
        <f>IF(OR(H49="",I49=""),"",I49-H49)</f>
        <v/>
      </c>
      <c r="O49" s="7" t="n"/>
    </row>
    <row r="50">
      <c r="A50" s="14" t="n"/>
      <c r="B50" s="7" t="n"/>
      <c r="C50" s="7" t="n"/>
      <c r="D50" s="7" t="n"/>
      <c r="E50" s="15" t="n"/>
      <c r="F50" s="15" t="n"/>
      <c r="G50" s="15" t="n"/>
      <c r="H50" s="16" t="n"/>
      <c r="I50" s="16" t="n"/>
      <c r="J50" s="12">
        <f>IF(OR(E50="",F50=""),"",ROUND((MOD(F50-E50,1)-N(G50))*24,2))</f>
        <v/>
      </c>
      <c r="K50" s="12">
        <f>IF(OR(A50="",B50=""),"",SUMIFS(Paradas!$F$5:$F$1004,Paradas!$A$5:$A$1004,A50,Paradas!$B$5:$B$1004,B50))</f>
        <v/>
      </c>
      <c r="L50" s="12">
        <f>IF(J50="","",J50-N(K50))</f>
        <v/>
      </c>
      <c r="M50" s="13">
        <f>IF(OR(A50="",B50=""),"",COUNTIFS(Paradas!$A$5:$A$1004,A50,Paradas!$B$5:$B$1004,B50))</f>
        <v/>
      </c>
      <c r="N50" s="12">
        <f>IF(OR(H50="",I50=""),"",I50-H50)</f>
        <v/>
      </c>
      <c r="O50" s="7" t="n"/>
    </row>
    <row r="51">
      <c r="A51" s="14" t="n"/>
      <c r="B51" s="7" t="n"/>
      <c r="C51" s="7" t="n"/>
      <c r="D51" s="7" t="n"/>
      <c r="E51" s="15" t="n"/>
      <c r="F51" s="15" t="n"/>
      <c r="G51" s="15" t="n"/>
      <c r="H51" s="16" t="n"/>
      <c r="I51" s="16" t="n"/>
      <c r="J51" s="12">
        <f>IF(OR(E51="",F51=""),"",ROUND((MOD(F51-E51,1)-N(G51))*24,2))</f>
        <v/>
      </c>
      <c r="K51" s="12">
        <f>IF(OR(A51="",B51=""),"",SUMIFS(Paradas!$F$5:$F$1004,Paradas!$A$5:$A$1004,A51,Paradas!$B$5:$B$1004,B51))</f>
        <v/>
      </c>
      <c r="L51" s="12">
        <f>IF(J51="","",J51-N(K51))</f>
        <v/>
      </c>
      <c r="M51" s="13">
        <f>IF(OR(A51="",B51=""),"",COUNTIFS(Paradas!$A$5:$A$1004,A51,Paradas!$B$5:$B$1004,B51))</f>
        <v/>
      </c>
      <c r="N51" s="12">
        <f>IF(OR(H51="",I51=""),"",I51-H51)</f>
        <v/>
      </c>
      <c r="O51" s="7" t="n"/>
    </row>
    <row r="52">
      <c r="A52" s="14" t="n"/>
      <c r="B52" s="7" t="n"/>
      <c r="C52" s="7" t="n"/>
      <c r="D52" s="7" t="n"/>
      <c r="E52" s="15" t="n"/>
      <c r="F52" s="15" t="n"/>
      <c r="G52" s="15" t="n"/>
      <c r="H52" s="16" t="n"/>
      <c r="I52" s="16" t="n"/>
      <c r="J52" s="12">
        <f>IF(OR(E52="",F52=""),"",ROUND((MOD(F52-E52,1)-N(G52))*24,2))</f>
        <v/>
      </c>
      <c r="K52" s="12">
        <f>IF(OR(A52="",B52=""),"",SUMIFS(Paradas!$F$5:$F$1004,Paradas!$A$5:$A$1004,A52,Paradas!$B$5:$B$1004,B52))</f>
        <v/>
      </c>
      <c r="L52" s="12">
        <f>IF(J52="","",J52-N(K52))</f>
        <v/>
      </c>
      <c r="M52" s="13">
        <f>IF(OR(A52="",B52=""),"",COUNTIFS(Paradas!$A$5:$A$1004,A52,Paradas!$B$5:$B$1004,B52))</f>
        <v/>
      </c>
      <c r="N52" s="12">
        <f>IF(OR(H52="",I52=""),"",I52-H52)</f>
        <v/>
      </c>
      <c r="O52" s="7" t="n"/>
    </row>
    <row r="53">
      <c r="A53" s="14" t="n"/>
      <c r="B53" s="7" t="n"/>
      <c r="C53" s="7" t="n"/>
      <c r="D53" s="7" t="n"/>
      <c r="E53" s="15" t="n"/>
      <c r="F53" s="15" t="n"/>
      <c r="G53" s="15" t="n"/>
      <c r="H53" s="16" t="n"/>
      <c r="I53" s="16" t="n"/>
      <c r="J53" s="12">
        <f>IF(OR(E53="",F53=""),"",ROUND((MOD(F53-E53,1)-N(G53))*24,2))</f>
        <v/>
      </c>
      <c r="K53" s="12">
        <f>IF(OR(A53="",B53=""),"",SUMIFS(Paradas!$F$5:$F$1004,Paradas!$A$5:$A$1004,A53,Paradas!$B$5:$B$1004,B53))</f>
        <v/>
      </c>
      <c r="L53" s="12">
        <f>IF(J53="","",J53-N(K53))</f>
        <v/>
      </c>
      <c r="M53" s="13">
        <f>IF(OR(A53="",B53=""),"",COUNTIFS(Paradas!$A$5:$A$1004,A53,Paradas!$B$5:$B$1004,B53))</f>
        <v/>
      </c>
      <c r="N53" s="12">
        <f>IF(OR(H53="",I53=""),"",I53-H53)</f>
        <v/>
      </c>
      <c r="O53" s="7" t="n"/>
    </row>
    <row r="54">
      <c r="A54" s="14" t="n"/>
      <c r="B54" s="7" t="n"/>
      <c r="C54" s="7" t="n"/>
      <c r="D54" s="7" t="n"/>
      <c r="E54" s="15" t="n"/>
      <c r="F54" s="15" t="n"/>
      <c r="G54" s="15" t="n"/>
      <c r="H54" s="16" t="n"/>
      <c r="I54" s="16" t="n"/>
      <c r="J54" s="12">
        <f>IF(OR(E54="",F54=""),"",ROUND((MOD(F54-E54,1)-N(G54))*24,2))</f>
        <v/>
      </c>
      <c r="K54" s="12">
        <f>IF(OR(A54="",B54=""),"",SUMIFS(Paradas!$F$5:$F$1004,Paradas!$A$5:$A$1004,A54,Paradas!$B$5:$B$1004,B54))</f>
        <v/>
      </c>
      <c r="L54" s="12">
        <f>IF(J54="","",J54-N(K54))</f>
        <v/>
      </c>
      <c r="M54" s="13">
        <f>IF(OR(A54="",B54=""),"",COUNTIFS(Paradas!$A$5:$A$1004,A54,Paradas!$B$5:$B$1004,B54))</f>
        <v/>
      </c>
      <c r="N54" s="12">
        <f>IF(OR(H54="",I54=""),"",I54-H54)</f>
        <v/>
      </c>
      <c r="O54" s="7" t="n"/>
    </row>
    <row r="55">
      <c r="A55" s="14" t="n"/>
      <c r="B55" s="7" t="n"/>
      <c r="C55" s="7" t="n"/>
      <c r="D55" s="7" t="n"/>
      <c r="E55" s="15" t="n"/>
      <c r="F55" s="15" t="n"/>
      <c r="G55" s="15" t="n"/>
      <c r="H55" s="16" t="n"/>
      <c r="I55" s="16" t="n"/>
      <c r="J55" s="12">
        <f>IF(OR(E55="",F55=""),"",ROUND((MOD(F55-E55,1)-N(G55))*24,2))</f>
        <v/>
      </c>
      <c r="K55" s="12">
        <f>IF(OR(A55="",B55=""),"",SUMIFS(Paradas!$F$5:$F$1004,Paradas!$A$5:$A$1004,A55,Paradas!$B$5:$B$1004,B55))</f>
        <v/>
      </c>
      <c r="L55" s="12">
        <f>IF(J55="","",J55-N(K55))</f>
        <v/>
      </c>
      <c r="M55" s="13">
        <f>IF(OR(A55="",B55=""),"",COUNTIFS(Paradas!$A$5:$A$1004,A55,Paradas!$B$5:$B$1004,B55))</f>
        <v/>
      </c>
      <c r="N55" s="12">
        <f>IF(OR(H55="",I55=""),"",I55-H55)</f>
        <v/>
      </c>
      <c r="O55" s="7" t="n"/>
    </row>
    <row r="56">
      <c r="A56" s="14" t="n"/>
      <c r="B56" s="7" t="n"/>
      <c r="C56" s="7" t="n"/>
      <c r="D56" s="7" t="n"/>
      <c r="E56" s="15" t="n"/>
      <c r="F56" s="15" t="n"/>
      <c r="G56" s="15" t="n"/>
      <c r="H56" s="16" t="n"/>
      <c r="I56" s="16" t="n"/>
      <c r="J56" s="12">
        <f>IF(OR(E56="",F56=""),"",ROUND((MOD(F56-E56,1)-N(G56))*24,2))</f>
        <v/>
      </c>
      <c r="K56" s="12">
        <f>IF(OR(A56="",B56=""),"",SUMIFS(Paradas!$F$5:$F$1004,Paradas!$A$5:$A$1004,A56,Paradas!$B$5:$B$1004,B56))</f>
        <v/>
      </c>
      <c r="L56" s="12">
        <f>IF(J56="","",J56-N(K56))</f>
        <v/>
      </c>
      <c r="M56" s="13">
        <f>IF(OR(A56="",B56=""),"",COUNTIFS(Paradas!$A$5:$A$1004,A56,Paradas!$B$5:$B$1004,B56))</f>
        <v/>
      </c>
      <c r="N56" s="12">
        <f>IF(OR(H56="",I56=""),"",I56-H56)</f>
        <v/>
      </c>
      <c r="O56" s="7" t="n"/>
    </row>
    <row r="57">
      <c r="A57" s="14" t="n"/>
      <c r="B57" s="7" t="n"/>
      <c r="C57" s="7" t="n"/>
      <c r="D57" s="7" t="n"/>
      <c r="E57" s="15" t="n"/>
      <c r="F57" s="15" t="n"/>
      <c r="G57" s="15" t="n"/>
      <c r="H57" s="16" t="n"/>
      <c r="I57" s="16" t="n"/>
      <c r="J57" s="12">
        <f>IF(OR(E57="",F57=""),"",ROUND((MOD(F57-E57,1)-N(G57))*24,2))</f>
        <v/>
      </c>
      <c r="K57" s="12">
        <f>IF(OR(A57="",B57=""),"",SUMIFS(Paradas!$F$5:$F$1004,Paradas!$A$5:$A$1004,A57,Paradas!$B$5:$B$1004,B57))</f>
        <v/>
      </c>
      <c r="L57" s="12">
        <f>IF(J57="","",J57-N(K57))</f>
        <v/>
      </c>
      <c r="M57" s="13">
        <f>IF(OR(A57="",B57=""),"",COUNTIFS(Paradas!$A$5:$A$1004,A57,Paradas!$B$5:$B$1004,B57))</f>
        <v/>
      </c>
      <c r="N57" s="12">
        <f>IF(OR(H57="",I57=""),"",I57-H57)</f>
        <v/>
      </c>
      <c r="O57" s="7" t="n"/>
    </row>
    <row r="58">
      <c r="A58" s="14" t="n"/>
      <c r="B58" s="7" t="n"/>
      <c r="C58" s="7" t="n"/>
      <c r="D58" s="7" t="n"/>
      <c r="E58" s="15" t="n"/>
      <c r="F58" s="15" t="n"/>
      <c r="G58" s="15" t="n"/>
      <c r="H58" s="16" t="n"/>
      <c r="I58" s="16" t="n"/>
      <c r="J58" s="12">
        <f>IF(OR(E58="",F58=""),"",ROUND((MOD(F58-E58,1)-N(G58))*24,2))</f>
        <v/>
      </c>
      <c r="K58" s="12">
        <f>IF(OR(A58="",B58=""),"",SUMIFS(Paradas!$F$5:$F$1004,Paradas!$A$5:$A$1004,A58,Paradas!$B$5:$B$1004,B58))</f>
        <v/>
      </c>
      <c r="L58" s="12">
        <f>IF(J58="","",J58-N(K58))</f>
        <v/>
      </c>
      <c r="M58" s="13">
        <f>IF(OR(A58="",B58=""),"",COUNTIFS(Paradas!$A$5:$A$1004,A58,Paradas!$B$5:$B$1004,B58))</f>
        <v/>
      </c>
      <c r="N58" s="12">
        <f>IF(OR(H58="",I58=""),"",I58-H58)</f>
        <v/>
      </c>
      <c r="O58" s="7" t="n"/>
    </row>
    <row r="59">
      <c r="A59" s="14" t="n"/>
      <c r="B59" s="7" t="n"/>
      <c r="C59" s="7" t="n"/>
      <c r="D59" s="7" t="n"/>
      <c r="E59" s="15" t="n"/>
      <c r="F59" s="15" t="n"/>
      <c r="G59" s="15" t="n"/>
      <c r="H59" s="16" t="n"/>
      <c r="I59" s="16" t="n"/>
      <c r="J59" s="12">
        <f>IF(OR(E59="",F59=""),"",ROUND((MOD(F59-E59,1)-N(G59))*24,2))</f>
        <v/>
      </c>
      <c r="K59" s="12">
        <f>IF(OR(A59="",B59=""),"",SUMIFS(Paradas!$F$5:$F$1004,Paradas!$A$5:$A$1004,A59,Paradas!$B$5:$B$1004,B59))</f>
        <v/>
      </c>
      <c r="L59" s="12">
        <f>IF(J59="","",J59-N(K59))</f>
        <v/>
      </c>
      <c r="M59" s="13">
        <f>IF(OR(A59="",B59=""),"",COUNTIFS(Paradas!$A$5:$A$1004,A59,Paradas!$B$5:$B$1004,B59))</f>
        <v/>
      </c>
      <c r="N59" s="12">
        <f>IF(OR(H59="",I59=""),"",I59-H59)</f>
        <v/>
      </c>
      <c r="O59" s="7" t="n"/>
    </row>
    <row r="60">
      <c r="A60" s="14" t="n"/>
      <c r="B60" s="7" t="n"/>
      <c r="C60" s="7" t="n"/>
      <c r="D60" s="7" t="n"/>
      <c r="E60" s="15" t="n"/>
      <c r="F60" s="15" t="n"/>
      <c r="G60" s="15" t="n"/>
      <c r="H60" s="16" t="n"/>
      <c r="I60" s="16" t="n"/>
      <c r="J60" s="12">
        <f>IF(OR(E60="",F60=""),"",ROUND((MOD(F60-E60,1)-N(G60))*24,2))</f>
        <v/>
      </c>
      <c r="K60" s="12">
        <f>IF(OR(A60="",B60=""),"",SUMIFS(Paradas!$F$5:$F$1004,Paradas!$A$5:$A$1004,A60,Paradas!$B$5:$B$1004,B60))</f>
        <v/>
      </c>
      <c r="L60" s="12">
        <f>IF(J60="","",J60-N(K60))</f>
        <v/>
      </c>
      <c r="M60" s="13">
        <f>IF(OR(A60="",B60=""),"",COUNTIFS(Paradas!$A$5:$A$1004,A60,Paradas!$B$5:$B$1004,B60))</f>
        <v/>
      </c>
      <c r="N60" s="12">
        <f>IF(OR(H60="",I60=""),"",I60-H60)</f>
        <v/>
      </c>
      <c r="O60" s="7" t="n"/>
    </row>
    <row r="61">
      <c r="A61" s="14" t="n"/>
      <c r="B61" s="7" t="n"/>
      <c r="C61" s="7" t="n"/>
      <c r="D61" s="7" t="n"/>
      <c r="E61" s="15" t="n"/>
      <c r="F61" s="15" t="n"/>
      <c r="G61" s="15" t="n"/>
      <c r="H61" s="16" t="n"/>
      <c r="I61" s="16" t="n"/>
      <c r="J61" s="12">
        <f>IF(OR(E61="",F61=""),"",ROUND((MOD(F61-E61,1)-N(G61))*24,2))</f>
        <v/>
      </c>
      <c r="K61" s="12">
        <f>IF(OR(A61="",B61=""),"",SUMIFS(Paradas!$F$5:$F$1004,Paradas!$A$5:$A$1004,A61,Paradas!$B$5:$B$1004,B61))</f>
        <v/>
      </c>
      <c r="L61" s="12">
        <f>IF(J61="","",J61-N(K61))</f>
        <v/>
      </c>
      <c r="M61" s="13">
        <f>IF(OR(A61="",B61=""),"",COUNTIFS(Paradas!$A$5:$A$1004,A61,Paradas!$B$5:$B$1004,B61))</f>
        <v/>
      </c>
      <c r="N61" s="12">
        <f>IF(OR(H61="",I61=""),"",I61-H61)</f>
        <v/>
      </c>
      <c r="O61" s="7" t="n"/>
    </row>
    <row r="62">
      <c r="A62" s="14" t="n"/>
      <c r="B62" s="7" t="n"/>
      <c r="C62" s="7" t="n"/>
      <c r="D62" s="7" t="n"/>
      <c r="E62" s="15" t="n"/>
      <c r="F62" s="15" t="n"/>
      <c r="G62" s="15" t="n"/>
      <c r="H62" s="16" t="n"/>
      <c r="I62" s="16" t="n"/>
      <c r="J62" s="12">
        <f>IF(OR(E62="",F62=""),"",ROUND((MOD(F62-E62,1)-N(G62))*24,2))</f>
        <v/>
      </c>
      <c r="K62" s="12">
        <f>IF(OR(A62="",B62=""),"",SUMIFS(Paradas!$F$5:$F$1004,Paradas!$A$5:$A$1004,A62,Paradas!$B$5:$B$1004,B62))</f>
        <v/>
      </c>
      <c r="L62" s="12">
        <f>IF(J62="","",J62-N(K62))</f>
        <v/>
      </c>
      <c r="M62" s="13">
        <f>IF(OR(A62="",B62=""),"",COUNTIFS(Paradas!$A$5:$A$1004,A62,Paradas!$B$5:$B$1004,B62))</f>
        <v/>
      </c>
      <c r="N62" s="12">
        <f>IF(OR(H62="",I62=""),"",I62-H62)</f>
        <v/>
      </c>
      <c r="O62" s="7" t="n"/>
    </row>
    <row r="63">
      <c r="A63" s="14" t="n"/>
      <c r="B63" s="7" t="n"/>
      <c r="C63" s="7" t="n"/>
      <c r="D63" s="7" t="n"/>
      <c r="E63" s="15" t="n"/>
      <c r="F63" s="15" t="n"/>
      <c r="G63" s="15" t="n"/>
      <c r="H63" s="16" t="n"/>
      <c r="I63" s="16" t="n"/>
      <c r="J63" s="12">
        <f>IF(OR(E63="",F63=""),"",ROUND((MOD(F63-E63,1)-N(G63))*24,2))</f>
        <v/>
      </c>
      <c r="K63" s="12">
        <f>IF(OR(A63="",B63=""),"",SUMIFS(Paradas!$F$5:$F$1004,Paradas!$A$5:$A$1004,A63,Paradas!$B$5:$B$1004,B63))</f>
        <v/>
      </c>
      <c r="L63" s="12">
        <f>IF(J63="","",J63-N(K63))</f>
        <v/>
      </c>
      <c r="M63" s="13">
        <f>IF(OR(A63="",B63=""),"",COUNTIFS(Paradas!$A$5:$A$1004,A63,Paradas!$B$5:$B$1004,B63))</f>
        <v/>
      </c>
      <c r="N63" s="12">
        <f>IF(OR(H63="",I63=""),"",I63-H63)</f>
        <v/>
      </c>
      <c r="O63" s="7" t="n"/>
    </row>
    <row r="64">
      <c r="A64" s="14" t="n"/>
      <c r="B64" s="7" t="n"/>
      <c r="C64" s="7" t="n"/>
      <c r="D64" s="7" t="n"/>
      <c r="E64" s="15" t="n"/>
      <c r="F64" s="15" t="n"/>
      <c r="G64" s="15" t="n"/>
      <c r="H64" s="16" t="n"/>
      <c r="I64" s="16" t="n"/>
      <c r="J64" s="12">
        <f>IF(OR(E64="",F64=""),"",ROUND((MOD(F64-E64,1)-N(G64))*24,2))</f>
        <v/>
      </c>
      <c r="K64" s="12">
        <f>IF(OR(A64="",B64=""),"",SUMIFS(Paradas!$F$5:$F$1004,Paradas!$A$5:$A$1004,A64,Paradas!$B$5:$B$1004,B64))</f>
        <v/>
      </c>
      <c r="L64" s="12">
        <f>IF(J64="","",J64-N(K64))</f>
        <v/>
      </c>
      <c r="M64" s="13">
        <f>IF(OR(A64="",B64=""),"",COUNTIFS(Paradas!$A$5:$A$1004,A64,Paradas!$B$5:$B$1004,B64))</f>
        <v/>
      </c>
      <c r="N64" s="12">
        <f>IF(OR(H64="",I64=""),"",I64-H64)</f>
        <v/>
      </c>
      <c r="O64" s="7" t="n"/>
    </row>
    <row r="65">
      <c r="A65" s="14" t="n"/>
      <c r="B65" s="7" t="n"/>
      <c r="C65" s="7" t="n"/>
      <c r="D65" s="7" t="n"/>
      <c r="E65" s="15" t="n"/>
      <c r="F65" s="15" t="n"/>
      <c r="G65" s="15" t="n"/>
      <c r="H65" s="16" t="n"/>
      <c r="I65" s="16" t="n"/>
      <c r="J65" s="12">
        <f>IF(OR(E65="",F65=""),"",ROUND((MOD(F65-E65,1)-N(G65))*24,2))</f>
        <v/>
      </c>
      <c r="K65" s="12">
        <f>IF(OR(A65="",B65=""),"",SUMIFS(Paradas!$F$5:$F$1004,Paradas!$A$5:$A$1004,A65,Paradas!$B$5:$B$1004,B65))</f>
        <v/>
      </c>
      <c r="L65" s="12">
        <f>IF(J65="","",J65-N(K65))</f>
        <v/>
      </c>
      <c r="M65" s="13">
        <f>IF(OR(A65="",B65=""),"",COUNTIFS(Paradas!$A$5:$A$1004,A65,Paradas!$B$5:$B$1004,B65))</f>
        <v/>
      </c>
      <c r="N65" s="12">
        <f>IF(OR(H65="",I65=""),"",I65-H65)</f>
        <v/>
      </c>
      <c r="O65" s="7" t="n"/>
    </row>
    <row r="66">
      <c r="A66" s="14" t="n"/>
      <c r="B66" s="7" t="n"/>
      <c r="C66" s="7" t="n"/>
      <c r="D66" s="7" t="n"/>
      <c r="E66" s="15" t="n"/>
      <c r="F66" s="15" t="n"/>
      <c r="G66" s="15" t="n"/>
      <c r="H66" s="16" t="n"/>
      <c r="I66" s="16" t="n"/>
      <c r="J66" s="12">
        <f>IF(OR(E66="",F66=""),"",ROUND((MOD(F66-E66,1)-N(G66))*24,2))</f>
        <v/>
      </c>
      <c r="K66" s="12">
        <f>IF(OR(A66="",B66=""),"",SUMIFS(Paradas!$F$5:$F$1004,Paradas!$A$5:$A$1004,A66,Paradas!$B$5:$B$1004,B66))</f>
        <v/>
      </c>
      <c r="L66" s="12">
        <f>IF(J66="","",J66-N(K66))</f>
        <v/>
      </c>
      <c r="M66" s="13">
        <f>IF(OR(A66="",B66=""),"",COUNTIFS(Paradas!$A$5:$A$1004,A66,Paradas!$B$5:$B$1004,B66))</f>
        <v/>
      </c>
      <c r="N66" s="12">
        <f>IF(OR(H66="",I66=""),"",I66-H66)</f>
        <v/>
      </c>
      <c r="O66" s="7" t="n"/>
    </row>
    <row r="67">
      <c r="A67" s="14" t="n"/>
      <c r="B67" s="7" t="n"/>
      <c r="C67" s="7" t="n"/>
      <c r="D67" s="7" t="n"/>
      <c r="E67" s="15" t="n"/>
      <c r="F67" s="15" t="n"/>
      <c r="G67" s="15" t="n"/>
      <c r="H67" s="16" t="n"/>
      <c r="I67" s="16" t="n"/>
      <c r="J67" s="12">
        <f>IF(OR(E67="",F67=""),"",ROUND((MOD(F67-E67,1)-N(G67))*24,2))</f>
        <v/>
      </c>
      <c r="K67" s="12">
        <f>IF(OR(A67="",B67=""),"",SUMIFS(Paradas!$F$5:$F$1004,Paradas!$A$5:$A$1004,A67,Paradas!$B$5:$B$1004,B67))</f>
        <v/>
      </c>
      <c r="L67" s="12">
        <f>IF(J67="","",J67-N(K67))</f>
        <v/>
      </c>
      <c r="M67" s="13">
        <f>IF(OR(A67="",B67=""),"",COUNTIFS(Paradas!$A$5:$A$1004,A67,Paradas!$B$5:$B$1004,B67))</f>
        <v/>
      </c>
      <c r="N67" s="12">
        <f>IF(OR(H67="",I67=""),"",I67-H67)</f>
        <v/>
      </c>
      <c r="O67" s="7" t="n"/>
    </row>
    <row r="68">
      <c r="A68" s="14" t="n"/>
      <c r="B68" s="7" t="n"/>
      <c r="C68" s="7" t="n"/>
      <c r="D68" s="7" t="n"/>
      <c r="E68" s="15" t="n"/>
      <c r="F68" s="15" t="n"/>
      <c r="G68" s="15" t="n"/>
      <c r="H68" s="16" t="n"/>
      <c r="I68" s="16" t="n"/>
      <c r="J68" s="12">
        <f>IF(OR(E68="",F68=""),"",ROUND((MOD(F68-E68,1)-N(G68))*24,2))</f>
        <v/>
      </c>
      <c r="K68" s="12">
        <f>IF(OR(A68="",B68=""),"",SUMIFS(Paradas!$F$5:$F$1004,Paradas!$A$5:$A$1004,A68,Paradas!$B$5:$B$1004,B68))</f>
        <v/>
      </c>
      <c r="L68" s="12">
        <f>IF(J68="","",J68-N(K68))</f>
        <v/>
      </c>
      <c r="M68" s="13">
        <f>IF(OR(A68="",B68=""),"",COUNTIFS(Paradas!$A$5:$A$1004,A68,Paradas!$B$5:$B$1004,B68))</f>
        <v/>
      </c>
      <c r="N68" s="12">
        <f>IF(OR(H68="",I68=""),"",I68-H68)</f>
        <v/>
      </c>
      <c r="O68" s="7" t="n"/>
    </row>
    <row r="69">
      <c r="A69" s="14" t="n"/>
      <c r="B69" s="7" t="n"/>
      <c r="C69" s="7" t="n"/>
      <c r="D69" s="7" t="n"/>
      <c r="E69" s="15" t="n"/>
      <c r="F69" s="15" t="n"/>
      <c r="G69" s="15" t="n"/>
      <c r="H69" s="16" t="n"/>
      <c r="I69" s="16" t="n"/>
      <c r="J69" s="12">
        <f>IF(OR(E69="",F69=""),"",ROUND((MOD(F69-E69,1)-N(G69))*24,2))</f>
        <v/>
      </c>
      <c r="K69" s="12">
        <f>IF(OR(A69="",B69=""),"",SUMIFS(Paradas!$F$5:$F$1004,Paradas!$A$5:$A$1004,A69,Paradas!$B$5:$B$1004,B69))</f>
        <v/>
      </c>
      <c r="L69" s="12">
        <f>IF(J69="","",J69-N(K69))</f>
        <v/>
      </c>
      <c r="M69" s="13">
        <f>IF(OR(A69="",B69=""),"",COUNTIFS(Paradas!$A$5:$A$1004,A69,Paradas!$B$5:$B$1004,B69))</f>
        <v/>
      </c>
      <c r="N69" s="12">
        <f>IF(OR(H69="",I69=""),"",I69-H69)</f>
        <v/>
      </c>
      <c r="O69" s="7" t="n"/>
    </row>
    <row r="70">
      <c r="A70" s="14" t="n"/>
      <c r="B70" s="7" t="n"/>
      <c r="C70" s="7" t="n"/>
      <c r="D70" s="7" t="n"/>
      <c r="E70" s="15" t="n"/>
      <c r="F70" s="15" t="n"/>
      <c r="G70" s="15" t="n"/>
      <c r="H70" s="16" t="n"/>
      <c r="I70" s="16" t="n"/>
      <c r="J70" s="12">
        <f>IF(OR(E70="",F70=""),"",ROUND((MOD(F70-E70,1)-N(G70))*24,2))</f>
        <v/>
      </c>
      <c r="K70" s="12">
        <f>IF(OR(A70="",B70=""),"",SUMIFS(Paradas!$F$5:$F$1004,Paradas!$A$5:$A$1004,A70,Paradas!$B$5:$B$1004,B70))</f>
        <v/>
      </c>
      <c r="L70" s="12">
        <f>IF(J70="","",J70-N(K70))</f>
        <v/>
      </c>
      <c r="M70" s="13">
        <f>IF(OR(A70="",B70=""),"",COUNTIFS(Paradas!$A$5:$A$1004,A70,Paradas!$B$5:$B$1004,B70))</f>
        <v/>
      </c>
      <c r="N70" s="12">
        <f>IF(OR(H70="",I70=""),"",I70-H70)</f>
        <v/>
      </c>
      <c r="O70" s="7" t="n"/>
    </row>
    <row r="71">
      <c r="A71" s="14" t="n"/>
      <c r="B71" s="7" t="n"/>
      <c r="C71" s="7" t="n"/>
      <c r="D71" s="7" t="n"/>
      <c r="E71" s="15" t="n"/>
      <c r="F71" s="15" t="n"/>
      <c r="G71" s="15" t="n"/>
      <c r="H71" s="16" t="n"/>
      <c r="I71" s="16" t="n"/>
      <c r="J71" s="12">
        <f>IF(OR(E71="",F71=""),"",ROUND((MOD(F71-E71,1)-N(G71))*24,2))</f>
        <v/>
      </c>
      <c r="K71" s="12">
        <f>IF(OR(A71="",B71=""),"",SUMIFS(Paradas!$F$5:$F$1004,Paradas!$A$5:$A$1004,A71,Paradas!$B$5:$B$1004,B71))</f>
        <v/>
      </c>
      <c r="L71" s="12">
        <f>IF(J71="","",J71-N(K71))</f>
        <v/>
      </c>
      <c r="M71" s="13">
        <f>IF(OR(A71="",B71=""),"",COUNTIFS(Paradas!$A$5:$A$1004,A71,Paradas!$B$5:$B$1004,B71))</f>
        <v/>
      </c>
      <c r="N71" s="12">
        <f>IF(OR(H71="",I71=""),"",I71-H71)</f>
        <v/>
      </c>
      <c r="O71" s="7" t="n"/>
    </row>
    <row r="72">
      <c r="A72" s="14" t="n"/>
      <c r="B72" s="7" t="n"/>
      <c r="C72" s="7" t="n"/>
      <c r="D72" s="7" t="n"/>
      <c r="E72" s="15" t="n"/>
      <c r="F72" s="15" t="n"/>
      <c r="G72" s="15" t="n"/>
      <c r="H72" s="16" t="n"/>
      <c r="I72" s="16" t="n"/>
      <c r="J72" s="12">
        <f>IF(OR(E72="",F72=""),"",ROUND((MOD(F72-E72,1)-N(G72))*24,2))</f>
        <v/>
      </c>
      <c r="K72" s="12">
        <f>IF(OR(A72="",B72=""),"",SUMIFS(Paradas!$F$5:$F$1004,Paradas!$A$5:$A$1004,A72,Paradas!$B$5:$B$1004,B72))</f>
        <v/>
      </c>
      <c r="L72" s="12">
        <f>IF(J72="","",J72-N(K72))</f>
        <v/>
      </c>
      <c r="M72" s="13">
        <f>IF(OR(A72="",B72=""),"",COUNTIFS(Paradas!$A$5:$A$1004,A72,Paradas!$B$5:$B$1004,B72))</f>
        <v/>
      </c>
      <c r="N72" s="12">
        <f>IF(OR(H72="",I72=""),"",I72-H72)</f>
        <v/>
      </c>
      <c r="O72" s="7" t="n"/>
    </row>
    <row r="73">
      <c r="A73" s="14" t="n"/>
      <c r="B73" s="7" t="n"/>
      <c r="C73" s="7" t="n"/>
      <c r="D73" s="7" t="n"/>
      <c r="E73" s="15" t="n"/>
      <c r="F73" s="15" t="n"/>
      <c r="G73" s="15" t="n"/>
      <c r="H73" s="16" t="n"/>
      <c r="I73" s="16" t="n"/>
      <c r="J73" s="12">
        <f>IF(OR(E73="",F73=""),"",ROUND((MOD(F73-E73,1)-N(G73))*24,2))</f>
        <v/>
      </c>
      <c r="K73" s="12">
        <f>IF(OR(A73="",B73=""),"",SUMIFS(Paradas!$F$5:$F$1004,Paradas!$A$5:$A$1004,A73,Paradas!$B$5:$B$1004,B73))</f>
        <v/>
      </c>
      <c r="L73" s="12">
        <f>IF(J73="","",J73-N(K73))</f>
        <v/>
      </c>
      <c r="M73" s="13">
        <f>IF(OR(A73="",B73=""),"",COUNTIFS(Paradas!$A$5:$A$1004,A73,Paradas!$B$5:$B$1004,B73))</f>
        <v/>
      </c>
      <c r="N73" s="12">
        <f>IF(OR(H73="",I73=""),"",I73-H73)</f>
        <v/>
      </c>
      <c r="O73" s="7" t="n"/>
    </row>
    <row r="74">
      <c r="A74" s="14" t="n"/>
      <c r="B74" s="7" t="n"/>
      <c r="C74" s="7" t="n"/>
      <c r="D74" s="7" t="n"/>
      <c r="E74" s="15" t="n"/>
      <c r="F74" s="15" t="n"/>
      <c r="G74" s="15" t="n"/>
      <c r="H74" s="16" t="n"/>
      <c r="I74" s="16" t="n"/>
      <c r="J74" s="12">
        <f>IF(OR(E74="",F74=""),"",ROUND((MOD(F74-E74,1)-N(G74))*24,2))</f>
        <v/>
      </c>
      <c r="K74" s="12">
        <f>IF(OR(A74="",B74=""),"",SUMIFS(Paradas!$F$5:$F$1004,Paradas!$A$5:$A$1004,A74,Paradas!$B$5:$B$1004,B74))</f>
        <v/>
      </c>
      <c r="L74" s="12">
        <f>IF(J74="","",J74-N(K74))</f>
        <v/>
      </c>
      <c r="M74" s="13">
        <f>IF(OR(A74="",B74=""),"",COUNTIFS(Paradas!$A$5:$A$1004,A74,Paradas!$B$5:$B$1004,B74))</f>
        <v/>
      </c>
      <c r="N74" s="12">
        <f>IF(OR(H74="",I74=""),"",I74-H74)</f>
        <v/>
      </c>
      <c r="O74" s="7" t="n"/>
    </row>
    <row r="75">
      <c r="A75" s="14" t="n"/>
      <c r="B75" s="7" t="n"/>
      <c r="C75" s="7" t="n"/>
      <c r="D75" s="7" t="n"/>
      <c r="E75" s="15" t="n"/>
      <c r="F75" s="15" t="n"/>
      <c r="G75" s="15" t="n"/>
      <c r="H75" s="16" t="n"/>
      <c r="I75" s="16" t="n"/>
      <c r="J75" s="12">
        <f>IF(OR(E75="",F75=""),"",ROUND((MOD(F75-E75,1)-N(G75))*24,2))</f>
        <v/>
      </c>
      <c r="K75" s="12">
        <f>IF(OR(A75="",B75=""),"",SUMIFS(Paradas!$F$5:$F$1004,Paradas!$A$5:$A$1004,A75,Paradas!$B$5:$B$1004,B75))</f>
        <v/>
      </c>
      <c r="L75" s="12">
        <f>IF(J75="","",J75-N(K75))</f>
        <v/>
      </c>
      <c r="M75" s="13">
        <f>IF(OR(A75="",B75=""),"",COUNTIFS(Paradas!$A$5:$A$1004,A75,Paradas!$B$5:$B$1004,B75))</f>
        <v/>
      </c>
      <c r="N75" s="12">
        <f>IF(OR(H75="",I75=""),"",I75-H75)</f>
        <v/>
      </c>
      <c r="O75" s="7" t="n"/>
    </row>
    <row r="76">
      <c r="A76" s="14" t="n"/>
      <c r="B76" s="7" t="n"/>
      <c r="C76" s="7" t="n"/>
      <c r="D76" s="7" t="n"/>
      <c r="E76" s="15" t="n"/>
      <c r="F76" s="15" t="n"/>
      <c r="G76" s="15" t="n"/>
      <c r="H76" s="16" t="n"/>
      <c r="I76" s="16" t="n"/>
      <c r="J76" s="12">
        <f>IF(OR(E76="",F76=""),"",ROUND((MOD(F76-E76,1)-N(G76))*24,2))</f>
        <v/>
      </c>
      <c r="K76" s="12">
        <f>IF(OR(A76="",B76=""),"",SUMIFS(Paradas!$F$5:$F$1004,Paradas!$A$5:$A$1004,A76,Paradas!$B$5:$B$1004,B76))</f>
        <v/>
      </c>
      <c r="L76" s="12">
        <f>IF(J76="","",J76-N(K76))</f>
        <v/>
      </c>
      <c r="M76" s="13">
        <f>IF(OR(A76="",B76=""),"",COUNTIFS(Paradas!$A$5:$A$1004,A76,Paradas!$B$5:$B$1004,B76))</f>
        <v/>
      </c>
      <c r="N76" s="12">
        <f>IF(OR(H76="",I76=""),"",I76-H76)</f>
        <v/>
      </c>
      <c r="O76" s="7" t="n"/>
    </row>
    <row r="77">
      <c r="A77" s="14" t="n"/>
      <c r="B77" s="7" t="n"/>
      <c r="C77" s="7" t="n"/>
      <c r="D77" s="7" t="n"/>
      <c r="E77" s="15" t="n"/>
      <c r="F77" s="15" t="n"/>
      <c r="G77" s="15" t="n"/>
      <c r="H77" s="16" t="n"/>
      <c r="I77" s="16" t="n"/>
      <c r="J77" s="12">
        <f>IF(OR(E77="",F77=""),"",ROUND((MOD(F77-E77,1)-N(G77))*24,2))</f>
        <v/>
      </c>
      <c r="K77" s="12">
        <f>IF(OR(A77="",B77=""),"",SUMIFS(Paradas!$F$5:$F$1004,Paradas!$A$5:$A$1004,A77,Paradas!$B$5:$B$1004,B77))</f>
        <v/>
      </c>
      <c r="L77" s="12">
        <f>IF(J77="","",J77-N(K77))</f>
        <v/>
      </c>
      <c r="M77" s="13">
        <f>IF(OR(A77="",B77=""),"",COUNTIFS(Paradas!$A$5:$A$1004,A77,Paradas!$B$5:$B$1004,B77))</f>
        <v/>
      </c>
      <c r="N77" s="12">
        <f>IF(OR(H77="",I77=""),"",I77-H77)</f>
        <v/>
      </c>
      <c r="O77" s="7" t="n"/>
    </row>
    <row r="78">
      <c r="A78" s="14" t="n"/>
      <c r="B78" s="7" t="n"/>
      <c r="C78" s="7" t="n"/>
      <c r="D78" s="7" t="n"/>
      <c r="E78" s="15" t="n"/>
      <c r="F78" s="15" t="n"/>
      <c r="G78" s="15" t="n"/>
      <c r="H78" s="16" t="n"/>
      <c r="I78" s="16" t="n"/>
      <c r="J78" s="12">
        <f>IF(OR(E78="",F78=""),"",ROUND((MOD(F78-E78,1)-N(G78))*24,2))</f>
        <v/>
      </c>
      <c r="K78" s="12">
        <f>IF(OR(A78="",B78=""),"",SUMIFS(Paradas!$F$5:$F$1004,Paradas!$A$5:$A$1004,A78,Paradas!$B$5:$B$1004,B78))</f>
        <v/>
      </c>
      <c r="L78" s="12">
        <f>IF(J78="","",J78-N(K78))</f>
        <v/>
      </c>
      <c r="M78" s="13">
        <f>IF(OR(A78="",B78=""),"",COUNTIFS(Paradas!$A$5:$A$1004,A78,Paradas!$B$5:$B$1004,B78))</f>
        <v/>
      </c>
      <c r="N78" s="12">
        <f>IF(OR(H78="",I78=""),"",I78-H78)</f>
        <v/>
      </c>
      <c r="O78" s="7" t="n"/>
    </row>
    <row r="79">
      <c r="A79" s="14" t="n"/>
      <c r="B79" s="7" t="n"/>
      <c r="C79" s="7" t="n"/>
      <c r="D79" s="7" t="n"/>
      <c r="E79" s="15" t="n"/>
      <c r="F79" s="15" t="n"/>
      <c r="G79" s="15" t="n"/>
      <c r="H79" s="16" t="n"/>
      <c r="I79" s="16" t="n"/>
      <c r="J79" s="12">
        <f>IF(OR(E79="",F79=""),"",ROUND((MOD(F79-E79,1)-N(G79))*24,2))</f>
        <v/>
      </c>
      <c r="K79" s="12">
        <f>IF(OR(A79="",B79=""),"",SUMIFS(Paradas!$F$5:$F$1004,Paradas!$A$5:$A$1004,A79,Paradas!$B$5:$B$1004,B79))</f>
        <v/>
      </c>
      <c r="L79" s="12">
        <f>IF(J79="","",J79-N(K79))</f>
        <v/>
      </c>
      <c r="M79" s="13">
        <f>IF(OR(A79="",B79=""),"",COUNTIFS(Paradas!$A$5:$A$1004,A79,Paradas!$B$5:$B$1004,B79))</f>
        <v/>
      </c>
      <c r="N79" s="12">
        <f>IF(OR(H79="",I79=""),"",I79-H79)</f>
        <v/>
      </c>
      <c r="O79" s="7" t="n"/>
    </row>
    <row r="80">
      <c r="A80" s="14" t="n"/>
      <c r="B80" s="7" t="n"/>
      <c r="C80" s="7" t="n"/>
      <c r="D80" s="7" t="n"/>
      <c r="E80" s="15" t="n"/>
      <c r="F80" s="15" t="n"/>
      <c r="G80" s="15" t="n"/>
      <c r="H80" s="16" t="n"/>
      <c r="I80" s="16" t="n"/>
      <c r="J80" s="12">
        <f>IF(OR(E80="",F80=""),"",ROUND((MOD(F80-E80,1)-N(G80))*24,2))</f>
        <v/>
      </c>
      <c r="K80" s="12">
        <f>IF(OR(A80="",B80=""),"",SUMIFS(Paradas!$F$5:$F$1004,Paradas!$A$5:$A$1004,A80,Paradas!$B$5:$B$1004,B80))</f>
        <v/>
      </c>
      <c r="L80" s="12">
        <f>IF(J80="","",J80-N(K80))</f>
        <v/>
      </c>
      <c r="M80" s="13">
        <f>IF(OR(A80="",B80=""),"",COUNTIFS(Paradas!$A$5:$A$1004,A80,Paradas!$B$5:$B$1004,B80))</f>
        <v/>
      </c>
      <c r="N80" s="12">
        <f>IF(OR(H80="",I80=""),"",I80-H80)</f>
        <v/>
      </c>
      <c r="O80" s="7" t="n"/>
    </row>
    <row r="81">
      <c r="A81" s="14" t="n"/>
      <c r="B81" s="7" t="n"/>
      <c r="C81" s="7" t="n"/>
      <c r="D81" s="7" t="n"/>
      <c r="E81" s="15" t="n"/>
      <c r="F81" s="15" t="n"/>
      <c r="G81" s="15" t="n"/>
      <c r="H81" s="16" t="n"/>
      <c r="I81" s="16" t="n"/>
      <c r="J81" s="12">
        <f>IF(OR(E81="",F81=""),"",ROUND((MOD(F81-E81,1)-N(G81))*24,2))</f>
        <v/>
      </c>
      <c r="K81" s="12">
        <f>IF(OR(A81="",B81=""),"",SUMIFS(Paradas!$F$5:$F$1004,Paradas!$A$5:$A$1004,A81,Paradas!$B$5:$B$1004,B81))</f>
        <v/>
      </c>
      <c r="L81" s="12">
        <f>IF(J81="","",J81-N(K81))</f>
        <v/>
      </c>
      <c r="M81" s="13">
        <f>IF(OR(A81="",B81=""),"",COUNTIFS(Paradas!$A$5:$A$1004,A81,Paradas!$B$5:$B$1004,B81))</f>
        <v/>
      </c>
      <c r="N81" s="12">
        <f>IF(OR(H81="",I81=""),"",I81-H81)</f>
        <v/>
      </c>
      <c r="O81" s="7" t="n"/>
    </row>
    <row r="82">
      <c r="A82" s="14" t="n"/>
      <c r="B82" s="7" t="n"/>
      <c r="C82" s="7" t="n"/>
      <c r="D82" s="7" t="n"/>
      <c r="E82" s="15" t="n"/>
      <c r="F82" s="15" t="n"/>
      <c r="G82" s="15" t="n"/>
      <c r="H82" s="16" t="n"/>
      <c r="I82" s="16" t="n"/>
      <c r="J82" s="12">
        <f>IF(OR(E82="",F82=""),"",ROUND((MOD(F82-E82,1)-N(G82))*24,2))</f>
        <v/>
      </c>
      <c r="K82" s="12">
        <f>IF(OR(A82="",B82=""),"",SUMIFS(Paradas!$F$5:$F$1004,Paradas!$A$5:$A$1004,A82,Paradas!$B$5:$B$1004,B82))</f>
        <v/>
      </c>
      <c r="L82" s="12">
        <f>IF(J82="","",J82-N(K82))</f>
        <v/>
      </c>
      <c r="M82" s="13">
        <f>IF(OR(A82="",B82=""),"",COUNTIFS(Paradas!$A$5:$A$1004,A82,Paradas!$B$5:$B$1004,B82))</f>
        <v/>
      </c>
      <c r="N82" s="12">
        <f>IF(OR(H82="",I82=""),"",I82-H82)</f>
        <v/>
      </c>
      <c r="O82" s="7" t="n"/>
    </row>
    <row r="83">
      <c r="A83" s="14" t="n"/>
      <c r="B83" s="7" t="n"/>
      <c r="C83" s="7" t="n"/>
      <c r="D83" s="7" t="n"/>
      <c r="E83" s="15" t="n"/>
      <c r="F83" s="15" t="n"/>
      <c r="G83" s="15" t="n"/>
      <c r="H83" s="16" t="n"/>
      <c r="I83" s="16" t="n"/>
      <c r="J83" s="12">
        <f>IF(OR(E83="",F83=""),"",ROUND((MOD(F83-E83,1)-N(G83))*24,2))</f>
        <v/>
      </c>
      <c r="K83" s="12">
        <f>IF(OR(A83="",B83=""),"",SUMIFS(Paradas!$F$5:$F$1004,Paradas!$A$5:$A$1004,A83,Paradas!$B$5:$B$1004,B83))</f>
        <v/>
      </c>
      <c r="L83" s="12">
        <f>IF(J83="","",J83-N(K83))</f>
        <v/>
      </c>
      <c r="M83" s="13">
        <f>IF(OR(A83="",B83=""),"",COUNTIFS(Paradas!$A$5:$A$1004,A83,Paradas!$B$5:$B$1004,B83))</f>
        <v/>
      </c>
      <c r="N83" s="12">
        <f>IF(OR(H83="",I83=""),"",I83-H83)</f>
        <v/>
      </c>
      <c r="O83" s="7" t="n"/>
    </row>
    <row r="84">
      <c r="A84" s="14" t="n"/>
      <c r="B84" s="7" t="n"/>
      <c r="C84" s="7" t="n"/>
      <c r="D84" s="7" t="n"/>
      <c r="E84" s="15" t="n"/>
      <c r="F84" s="15" t="n"/>
      <c r="G84" s="15" t="n"/>
      <c r="H84" s="16" t="n"/>
      <c r="I84" s="16" t="n"/>
      <c r="J84" s="12">
        <f>IF(OR(E84="",F84=""),"",ROUND((MOD(F84-E84,1)-N(G84))*24,2))</f>
        <v/>
      </c>
      <c r="K84" s="12">
        <f>IF(OR(A84="",B84=""),"",SUMIFS(Paradas!$F$5:$F$1004,Paradas!$A$5:$A$1004,A84,Paradas!$B$5:$B$1004,B84))</f>
        <v/>
      </c>
      <c r="L84" s="12">
        <f>IF(J84="","",J84-N(K84))</f>
        <v/>
      </c>
      <c r="M84" s="13">
        <f>IF(OR(A84="",B84=""),"",COUNTIFS(Paradas!$A$5:$A$1004,A84,Paradas!$B$5:$B$1004,B84))</f>
        <v/>
      </c>
      <c r="N84" s="12">
        <f>IF(OR(H84="",I84=""),"",I84-H84)</f>
        <v/>
      </c>
      <c r="O84" s="7" t="n"/>
    </row>
    <row r="85">
      <c r="A85" s="14" t="n"/>
      <c r="B85" s="7" t="n"/>
      <c r="C85" s="7" t="n"/>
      <c r="D85" s="7" t="n"/>
      <c r="E85" s="15" t="n"/>
      <c r="F85" s="15" t="n"/>
      <c r="G85" s="15" t="n"/>
      <c r="H85" s="16" t="n"/>
      <c r="I85" s="16" t="n"/>
      <c r="J85" s="12">
        <f>IF(OR(E85="",F85=""),"",ROUND((MOD(F85-E85,1)-N(G85))*24,2))</f>
        <v/>
      </c>
      <c r="K85" s="12">
        <f>IF(OR(A85="",B85=""),"",SUMIFS(Paradas!$F$5:$F$1004,Paradas!$A$5:$A$1004,A85,Paradas!$B$5:$B$1004,B85))</f>
        <v/>
      </c>
      <c r="L85" s="12">
        <f>IF(J85="","",J85-N(K85))</f>
        <v/>
      </c>
      <c r="M85" s="13">
        <f>IF(OR(A85="",B85=""),"",COUNTIFS(Paradas!$A$5:$A$1004,A85,Paradas!$B$5:$B$1004,B85))</f>
        <v/>
      </c>
      <c r="N85" s="12">
        <f>IF(OR(H85="",I85=""),"",I85-H85)</f>
        <v/>
      </c>
      <c r="O85" s="7" t="n"/>
    </row>
    <row r="86">
      <c r="A86" s="14" t="n"/>
      <c r="B86" s="7" t="n"/>
      <c r="C86" s="7" t="n"/>
      <c r="D86" s="7" t="n"/>
      <c r="E86" s="15" t="n"/>
      <c r="F86" s="15" t="n"/>
      <c r="G86" s="15" t="n"/>
      <c r="H86" s="16" t="n"/>
      <c r="I86" s="16" t="n"/>
      <c r="J86" s="12">
        <f>IF(OR(E86="",F86=""),"",ROUND((MOD(F86-E86,1)-N(G86))*24,2))</f>
        <v/>
      </c>
      <c r="K86" s="12">
        <f>IF(OR(A86="",B86=""),"",SUMIFS(Paradas!$F$5:$F$1004,Paradas!$A$5:$A$1004,A86,Paradas!$B$5:$B$1004,B86))</f>
        <v/>
      </c>
      <c r="L86" s="12">
        <f>IF(J86="","",J86-N(K86))</f>
        <v/>
      </c>
      <c r="M86" s="13">
        <f>IF(OR(A86="",B86=""),"",COUNTIFS(Paradas!$A$5:$A$1004,A86,Paradas!$B$5:$B$1004,B86))</f>
        <v/>
      </c>
      <c r="N86" s="12">
        <f>IF(OR(H86="",I86=""),"",I86-H86)</f>
        <v/>
      </c>
      <c r="O86" s="7" t="n"/>
    </row>
    <row r="87">
      <c r="A87" s="14" t="n"/>
      <c r="B87" s="7" t="n"/>
      <c r="C87" s="7" t="n"/>
      <c r="D87" s="7" t="n"/>
      <c r="E87" s="15" t="n"/>
      <c r="F87" s="15" t="n"/>
      <c r="G87" s="15" t="n"/>
      <c r="H87" s="16" t="n"/>
      <c r="I87" s="16" t="n"/>
      <c r="J87" s="12">
        <f>IF(OR(E87="",F87=""),"",ROUND((MOD(F87-E87,1)-N(G87))*24,2))</f>
        <v/>
      </c>
      <c r="K87" s="12">
        <f>IF(OR(A87="",B87=""),"",SUMIFS(Paradas!$F$5:$F$1004,Paradas!$A$5:$A$1004,A87,Paradas!$B$5:$B$1004,B87))</f>
        <v/>
      </c>
      <c r="L87" s="12">
        <f>IF(J87="","",J87-N(K87))</f>
        <v/>
      </c>
      <c r="M87" s="13">
        <f>IF(OR(A87="",B87=""),"",COUNTIFS(Paradas!$A$5:$A$1004,A87,Paradas!$B$5:$B$1004,B87))</f>
        <v/>
      </c>
      <c r="N87" s="12">
        <f>IF(OR(H87="",I87=""),"",I87-H87)</f>
        <v/>
      </c>
      <c r="O87" s="7" t="n"/>
    </row>
    <row r="88">
      <c r="A88" s="14" t="n"/>
      <c r="B88" s="7" t="n"/>
      <c r="C88" s="7" t="n"/>
      <c r="D88" s="7" t="n"/>
      <c r="E88" s="15" t="n"/>
      <c r="F88" s="15" t="n"/>
      <c r="G88" s="15" t="n"/>
      <c r="H88" s="16" t="n"/>
      <c r="I88" s="16" t="n"/>
      <c r="J88" s="12">
        <f>IF(OR(E88="",F88=""),"",ROUND((MOD(F88-E88,1)-N(G88))*24,2))</f>
        <v/>
      </c>
      <c r="K88" s="12">
        <f>IF(OR(A88="",B88=""),"",SUMIFS(Paradas!$F$5:$F$1004,Paradas!$A$5:$A$1004,A88,Paradas!$B$5:$B$1004,B88))</f>
        <v/>
      </c>
      <c r="L88" s="12">
        <f>IF(J88="","",J88-N(K88))</f>
        <v/>
      </c>
      <c r="M88" s="13">
        <f>IF(OR(A88="",B88=""),"",COUNTIFS(Paradas!$A$5:$A$1004,A88,Paradas!$B$5:$B$1004,B88))</f>
        <v/>
      </c>
      <c r="N88" s="12">
        <f>IF(OR(H88="",I88=""),"",I88-H88)</f>
        <v/>
      </c>
      <c r="O88" s="7" t="n"/>
    </row>
    <row r="89">
      <c r="A89" s="14" t="n"/>
      <c r="B89" s="7" t="n"/>
      <c r="C89" s="7" t="n"/>
      <c r="D89" s="7" t="n"/>
      <c r="E89" s="15" t="n"/>
      <c r="F89" s="15" t="n"/>
      <c r="G89" s="15" t="n"/>
      <c r="H89" s="16" t="n"/>
      <c r="I89" s="16" t="n"/>
      <c r="J89" s="12">
        <f>IF(OR(E89="",F89=""),"",ROUND((MOD(F89-E89,1)-N(G89))*24,2))</f>
        <v/>
      </c>
      <c r="K89" s="12">
        <f>IF(OR(A89="",B89=""),"",SUMIFS(Paradas!$F$5:$F$1004,Paradas!$A$5:$A$1004,A89,Paradas!$B$5:$B$1004,B89))</f>
        <v/>
      </c>
      <c r="L89" s="12">
        <f>IF(J89="","",J89-N(K89))</f>
        <v/>
      </c>
      <c r="M89" s="13">
        <f>IF(OR(A89="",B89=""),"",COUNTIFS(Paradas!$A$5:$A$1004,A89,Paradas!$B$5:$B$1004,B89))</f>
        <v/>
      </c>
      <c r="N89" s="12">
        <f>IF(OR(H89="",I89=""),"",I89-H89)</f>
        <v/>
      </c>
      <c r="O89" s="7" t="n"/>
    </row>
    <row r="90">
      <c r="A90" s="14" t="n"/>
      <c r="B90" s="7" t="n"/>
      <c r="C90" s="7" t="n"/>
      <c r="D90" s="7" t="n"/>
      <c r="E90" s="15" t="n"/>
      <c r="F90" s="15" t="n"/>
      <c r="G90" s="15" t="n"/>
      <c r="H90" s="16" t="n"/>
      <c r="I90" s="16" t="n"/>
      <c r="J90" s="12">
        <f>IF(OR(E90="",F90=""),"",ROUND((MOD(F90-E90,1)-N(G90))*24,2))</f>
        <v/>
      </c>
      <c r="K90" s="12">
        <f>IF(OR(A90="",B90=""),"",SUMIFS(Paradas!$F$5:$F$1004,Paradas!$A$5:$A$1004,A90,Paradas!$B$5:$B$1004,B90))</f>
        <v/>
      </c>
      <c r="L90" s="12">
        <f>IF(J90="","",J90-N(K90))</f>
        <v/>
      </c>
      <c r="M90" s="13">
        <f>IF(OR(A90="",B90=""),"",COUNTIFS(Paradas!$A$5:$A$1004,A90,Paradas!$B$5:$B$1004,B90))</f>
        <v/>
      </c>
      <c r="N90" s="12">
        <f>IF(OR(H90="",I90=""),"",I90-H90)</f>
        <v/>
      </c>
      <c r="O90" s="7" t="n"/>
    </row>
    <row r="91">
      <c r="A91" s="14" t="n"/>
      <c r="B91" s="7" t="n"/>
      <c r="C91" s="7" t="n"/>
      <c r="D91" s="7" t="n"/>
      <c r="E91" s="15" t="n"/>
      <c r="F91" s="15" t="n"/>
      <c r="G91" s="15" t="n"/>
      <c r="H91" s="16" t="n"/>
      <c r="I91" s="16" t="n"/>
      <c r="J91" s="12">
        <f>IF(OR(E91="",F91=""),"",ROUND((MOD(F91-E91,1)-N(G91))*24,2))</f>
        <v/>
      </c>
      <c r="K91" s="12">
        <f>IF(OR(A91="",B91=""),"",SUMIFS(Paradas!$F$5:$F$1004,Paradas!$A$5:$A$1004,A91,Paradas!$B$5:$B$1004,B91))</f>
        <v/>
      </c>
      <c r="L91" s="12">
        <f>IF(J91="","",J91-N(K91))</f>
        <v/>
      </c>
      <c r="M91" s="13">
        <f>IF(OR(A91="",B91=""),"",COUNTIFS(Paradas!$A$5:$A$1004,A91,Paradas!$B$5:$B$1004,B91))</f>
        <v/>
      </c>
      <c r="N91" s="12">
        <f>IF(OR(H91="",I91=""),"",I91-H91)</f>
        <v/>
      </c>
      <c r="O91" s="7" t="n"/>
    </row>
    <row r="92">
      <c r="A92" s="14" t="n"/>
      <c r="B92" s="7" t="n"/>
      <c r="C92" s="7" t="n"/>
      <c r="D92" s="7" t="n"/>
      <c r="E92" s="15" t="n"/>
      <c r="F92" s="15" t="n"/>
      <c r="G92" s="15" t="n"/>
      <c r="H92" s="16" t="n"/>
      <c r="I92" s="16" t="n"/>
      <c r="J92" s="12">
        <f>IF(OR(E92="",F92=""),"",ROUND((MOD(F92-E92,1)-N(G92))*24,2))</f>
        <v/>
      </c>
      <c r="K92" s="12">
        <f>IF(OR(A92="",B92=""),"",SUMIFS(Paradas!$F$5:$F$1004,Paradas!$A$5:$A$1004,A92,Paradas!$B$5:$B$1004,B92))</f>
        <v/>
      </c>
      <c r="L92" s="12">
        <f>IF(J92="","",J92-N(K92))</f>
        <v/>
      </c>
      <c r="M92" s="13">
        <f>IF(OR(A92="",B92=""),"",COUNTIFS(Paradas!$A$5:$A$1004,A92,Paradas!$B$5:$B$1004,B92))</f>
        <v/>
      </c>
      <c r="N92" s="12">
        <f>IF(OR(H92="",I92=""),"",I92-H92)</f>
        <v/>
      </c>
      <c r="O92" s="7" t="n"/>
    </row>
    <row r="93">
      <c r="A93" s="14" t="n"/>
      <c r="B93" s="7" t="n"/>
      <c r="C93" s="7" t="n"/>
      <c r="D93" s="7" t="n"/>
      <c r="E93" s="15" t="n"/>
      <c r="F93" s="15" t="n"/>
      <c r="G93" s="15" t="n"/>
      <c r="H93" s="16" t="n"/>
      <c r="I93" s="16" t="n"/>
      <c r="J93" s="12">
        <f>IF(OR(E93="",F93=""),"",ROUND((MOD(F93-E93,1)-N(G93))*24,2))</f>
        <v/>
      </c>
      <c r="K93" s="12">
        <f>IF(OR(A93="",B93=""),"",SUMIFS(Paradas!$F$5:$F$1004,Paradas!$A$5:$A$1004,A93,Paradas!$B$5:$B$1004,B93))</f>
        <v/>
      </c>
      <c r="L93" s="12">
        <f>IF(J93="","",J93-N(K93))</f>
        <v/>
      </c>
      <c r="M93" s="13">
        <f>IF(OR(A93="",B93=""),"",COUNTIFS(Paradas!$A$5:$A$1004,A93,Paradas!$B$5:$B$1004,B93))</f>
        <v/>
      </c>
      <c r="N93" s="12">
        <f>IF(OR(H93="",I93=""),"",I93-H93)</f>
        <v/>
      </c>
      <c r="O93" s="7" t="n"/>
    </row>
    <row r="94">
      <c r="A94" s="14" t="n"/>
      <c r="B94" s="7" t="n"/>
      <c r="C94" s="7" t="n"/>
      <c r="D94" s="7" t="n"/>
      <c r="E94" s="15" t="n"/>
      <c r="F94" s="15" t="n"/>
      <c r="G94" s="15" t="n"/>
      <c r="H94" s="16" t="n"/>
      <c r="I94" s="16" t="n"/>
      <c r="J94" s="12">
        <f>IF(OR(E94="",F94=""),"",ROUND((MOD(F94-E94,1)-N(G94))*24,2))</f>
        <v/>
      </c>
      <c r="K94" s="12">
        <f>IF(OR(A94="",B94=""),"",SUMIFS(Paradas!$F$5:$F$1004,Paradas!$A$5:$A$1004,A94,Paradas!$B$5:$B$1004,B94))</f>
        <v/>
      </c>
      <c r="L94" s="12">
        <f>IF(J94="","",J94-N(K94))</f>
        <v/>
      </c>
      <c r="M94" s="13">
        <f>IF(OR(A94="",B94=""),"",COUNTIFS(Paradas!$A$5:$A$1004,A94,Paradas!$B$5:$B$1004,B94))</f>
        <v/>
      </c>
      <c r="N94" s="12">
        <f>IF(OR(H94="",I94=""),"",I94-H94)</f>
        <v/>
      </c>
      <c r="O94" s="7" t="n"/>
    </row>
    <row r="95">
      <c r="A95" s="14" t="n"/>
      <c r="B95" s="7" t="n"/>
      <c r="C95" s="7" t="n"/>
      <c r="D95" s="7" t="n"/>
      <c r="E95" s="15" t="n"/>
      <c r="F95" s="15" t="n"/>
      <c r="G95" s="15" t="n"/>
      <c r="H95" s="16" t="n"/>
      <c r="I95" s="16" t="n"/>
      <c r="J95" s="12">
        <f>IF(OR(E95="",F95=""),"",ROUND((MOD(F95-E95,1)-N(G95))*24,2))</f>
        <v/>
      </c>
      <c r="K95" s="12">
        <f>IF(OR(A95="",B95=""),"",SUMIFS(Paradas!$F$5:$F$1004,Paradas!$A$5:$A$1004,A95,Paradas!$B$5:$B$1004,B95))</f>
        <v/>
      </c>
      <c r="L95" s="12">
        <f>IF(J95="","",J95-N(K95))</f>
        <v/>
      </c>
      <c r="M95" s="13">
        <f>IF(OR(A95="",B95=""),"",COUNTIFS(Paradas!$A$5:$A$1004,A95,Paradas!$B$5:$B$1004,B95))</f>
        <v/>
      </c>
      <c r="N95" s="12">
        <f>IF(OR(H95="",I95=""),"",I95-H95)</f>
        <v/>
      </c>
      <c r="O95" s="7" t="n"/>
    </row>
    <row r="96">
      <c r="A96" s="14" t="n"/>
      <c r="B96" s="7" t="n"/>
      <c r="C96" s="7" t="n"/>
      <c r="D96" s="7" t="n"/>
      <c r="E96" s="15" t="n"/>
      <c r="F96" s="15" t="n"/>
      <c r="G96" s="15" t="n"/>
      <c r="H96" s="16" t="n"/>
      <c r="I96" s="16" t="n"/>
      <c r="J96" s="12">
        <f>IF(OR(E96="",F96=""),"",ROUND((MOD(F96-E96,1)-N(G96))*24,2))</f>
        <v/>
      </c>
      <c r="K96" s="12">
        <f>IF(OR(A96="",B96=""),"",SUMIFS(Paradas!$F$5:$F$1004,Paradas!$A$5:$A$1004,A96,Paradas!$B$5:$B$1004,B96))</f>
        <v/>
      </c>
      <c r="L96" s="12">
        <f>IF(J96="","",J96-N(K96))</f>
        <v/>
      </c>
      <c r="M96" s="13">
        <f>IF(OR(A96="",B96=""),"",COUNTIFS(Paradas!$A$5:$A$1004,A96,Paradas!$B$5:$B$1004,B96))</f>
        <v/>
      </c>
      <c r="N96" s="12">
        <f>IF(OR(H96="",I96=""),"",I96-H96)</f>
        <v/>
      </c>
      <c r="O96" s="7" t="n"/>
    </row>
    <row r="97">
      <c r="A97" s="14" t="n"/>
      <c r="B97" s="7" t="n"/>
      <c r="C97" s="7" t="n"/>
      <c r="D97" s="7" t="n"/>
      <c r="E97" s="15" t="n"/>
      <c r="F97" s="15" t="n"/>
      <c r="G97" s="15" t="n"/>
      <c r="H97" s="16" t="n"/>
      <c r="I97" s="16" t="n"/>
      <c r="J97" s="12">
        <f>IF(OR(E97="",F97=""),"",ROUND((MOD(F97-E97,1)-N(G97))*24,2))</f>
        <v/>
      </c>
      <c r="K97" s="12">
        <f>IF(OR(A97="",B97=""),"",SUMIFS(Paradas!$F$5:$F$1004,Paradas!$A$5:$A$1004,A97,Paradas!$B$5:$B$1004,B97))</f>
        <v/>
      </c>
      <c r="L97" s="12">
        <f>IF(J97="","",J97-N(K97))</f>
        <v/>
      </c>
      <c r="M97" s="13">
        <f>IF(OR(A97="",B97=""),"",COUNTIFS(Paradas!$A$5:$A$1004,A97,Paradas!$B$5:$B$1004,B97))</f>
        <v/>
      </c>
      <c r="N97" s="12">
        <f>IF(OR(H97="",I97=""),"",I97-H97)</f>
        <v/>
      </c>
      <c r="O97" s="7" t="n"/>
    </row>
    <row r="98">
      <c r="A98" s="14" t="n"/>
      <c r="B98" s="7" t="n"/>
      <c r="C98" s="7" t="n"/>
      <c r="D98" s="7" t="n"/>
      <c r="E98" s="15" t="n"/>
      <c r="F98" s="15" t="n"/>
      <c r="G98" s="15" t="n"/>
      <c r="H98" s="16" t="n"/>
      <c r="I98" s="16" t="n"/>
      <c r="J98" s="12">
        <f>IF(OR(E98="",F98=""),"",ROUND((MOD(F98-E98,1)-N(G98))*24,2))</f>
        <v/>
      </c>
      <c r="K98" s="12">
        <f>IF(OR(A98="",B98=""),"",SUMIFS(Paradas!$F$5:$F$1004,Paradas!$A$5:$A$1004,A98,Paradas!$B$5:$B$1004,B98))</f>
        <v/>
      </c>
      <c r="L98" s="12">
        <f>IF(J98="","",J98-N(K98))</f>
        <v/>
      </c>
      <c r="M98" s="13">
        <f>IF(OR(A98="",B98=""),"",COUNTIFS(Paradas!$A$5:$A$1004,A98,Paradas!$B$5:$B$1004,B98))</f>
        <v/>
      </c>
      <c r="N98" s="12">
        <f>IF(OR(H98="",I98=""),"",I98-H98)</f>
        <v/>
      </c>
      <c r="O98" s="7" t="n"/>
    </row>
    <row r="99">
      <c r="A99" s="14" t="n"/>
      <c r="B99" s="7" t="n"/>
      <c r="C99" s="7" t="n"/>
      <c r="D99" s="7" t="n"/>
      <c r="E99" s="15" t="n"/>
      <c r="F99" s="15" t="n"/>
      <c r="G99" s="15" t="n"/>
      <c r="H99" s="16" t="n"/>
      <c r="I99" s="16" t="n"/>
      <c r="J99" s="12">
        <f>IF(OR(E99="",F99=""),"",ROUND((MOD(F99-E99,1)-N(G99))*24,2))</f>
        <v/>
      </c>
      <c r="K99" s="12">
        <f>IF(OR(A99="",B99=""),"",SUMIFS(Paradas!$F$5:$F$1004,Paradas!$A$5:$A$1004,A99,Paradas!$B$5:$B$1004,B99))</f>
        <v/>
      </c>
      <c r="L99" s="12">
        <f>IF(J99="","",J99-N(K99))</f>
        <v/>
      </c>
      <c r="M99" s="13">
        <f>IF(OR(A99="",B99=""),"",COUNTIFS(Paradas!$A$5:$A$1004,A99,Paradas!$B$5:$B$1004,B99))</f>
        <v/>
      </c>
      <c r="N99" s="12">
        <f>IF(OR(H99="",I99=""),"",I99-H99)</f>
        <v/>
      </c>
      <c r="O99" s="7" t="n"/>
    </row>
    <row r="100">
      <c r="A100" s="14" t="n"/>
      <c r="B100" s="7" t="n"/>
      <c r="C100" s="7" t="n"/>
      <c r="D100" s="7" t="n"/>
      <c r="E100" s="15" t="n"/>
      <c r="F100" s="15" t="n"/>
      <c r="G100" s="15" t="n"/>
      <c r="H100" s="16" t="n"/>
      <c r="I100" s="16" t="n"/>
      <c r="J100" s="12">
        <f>IF(OR(E100="",F100=""),"",ROUND((MOD(F100-E100,1)-N(G100))*24,2))</f>
        <v/>
      </c>
      <c r="K100" s="12">
        <f>IF(OR(A100="",B100=""),"",SUMIFS(Paradas!$F$5:$F$1004,Paradas!$A$5:$A$1004,A100,Paradas!$B$5:$B$1004,B100))</f>
        <v/>
      </c>
      <c r="L100" s="12">
        <f>IF(J100="","",J100-N(K100))</f>
        <v/>
      </c>
      <c r="M100" s="13">
        <f>IF(OR(A100="",B100=""),"",COUNTIFS(Paradas!$A$5:$A$1004,A100,Paradas!$B$5:$B$1004,B100))</f>
        <v/>
      </c>
      <c r="N100" s="12">
        <f>IF(OR(H100="",I100=""),"",I100-H100)</f>
        <v/>
      </c>
      <c r="O100" s="7" t="n"/>
    </row>
    <row r="101">
      <c r="A101" s="14" t="n"/>
      <c r="B101" s="7" t="n"/>
      <c r="C101" s="7" t="n"/>
      <c r="D101" s="7" t="n"/>
      <c r="E101" s="15" t="n"/>
      <c r="F101" s="15" t="n"/>
      <c r="G101" s="15" t="n"/>
      <c r="H101" s="16" t="n"/>
      <c r="I101" s="16" t="n"/>
      <c r="J101" s="12">
        <f>IF(OR(E101="",F101=""),"",ROUND((MOD(F101-E101,1)-N(G101))*24,2))</f>
        <v/>
      </c>
      <c r="K101" s="12">
        <f>IF(OR(A101="",B101=""),"",SUMIFS(Paradas!$F$5:$F$1004,Paradas!$A$5:$A$1004,A101,Paradas!$B$5:$B$1004,B101))</f>
        <v/>
      </c>
      <c r="L101" s="12">
        <f>IF(J101="","",J101-N(K101))</f>
        <v/>
      </c>
      <c r="M101" s="13">
        <f>IF(OR(A101="",B101=""),"",COUNTIFS(Paradas!$A$5:$A$1004,A101,Paradas!$B$5:$B$1004,B101))</f>
        <v/>
      </c>
      <c r="N101" s="12">
        <f>IF(OR(H101="",I101=""),"",I101-H101)</f>
        <v/>
      </c>
      <c r="O101" s="7" t="n"/>
    </row>
    <row r="102">
      <c r="A102" s="14" t="n"/>
      <c r="B102" s="7" t="n"/>
      <c r="C102" s="7" t="n"/>
      <c r="D102" s="7" t="n"/>
      <c r="E102" s="15" t="n"/>
      <c r="F102" s="15" t="n"/>
      <c r="G102" s="15" t="n"/>
      <c r="H102" s="16" t="n"/>
      <c r="I102" s="16" t="n"/>
      <c r="J102" s="12">
        <f>IF(OR(E102="",F102=""),"",ROUND((MOD(F102-E102,1)-N(G102))*24,2))</f>
        <v/>
      </c>
      <c r="K102" s="12">
        <f>IF(OR(A102="",B102=""),"",SUMIFS(Paradas!$F$5:$F$1004,Paradas!$A$5:$A$1004,A102,Paradas!$B$5:$B$1004,B102))</f>
        <v/>
      </c>
      <c r="L102" s="12">
        <f>IF(J102="","",J102-N(K102))</f>
        <v/>
      </c>
      <c r="M102" s="13">
        <f>IF(OR(A102="",B102=""),"",COUNTIFS(Paradas!$A$5:$A$1004,A102,Paradas!$B$5:$B$1004,B102))</f>
        <v/>
      </c>
      <c r="N102" s="12">
        <f>IF(OR(H102="",I102=""),"",I102-H102)</f>
        <v/>
      </c>
      <c r="O102" s="7" t="n"/>
    </row>
    <row r="103">
      <c r="A103" s="14" t="n"/>
      <c r="B103" s="7" t="n"/>
      <c r="C103" s="7" t="n"/>
      <c r="D103" s="7" t="n"/>
      <c r="E103" s="15" t="n"/>
      <c r="F103" s="15" t="n"/>
      <c r="G103" s="15" t="n"/>
      <c r="H103" s="16" t="n"/>
      <c r="I103" s="16" t="n"/>
      <c r="J103" s="12">
        <f>IF(OR(E103="",F103=""),"",ROUND((MOD(F103-E103,1)-N(G103))*24,2))</f>
        <v/>
      </c>
      <c r="K103" s="12">
        <f>IF(OR(A103="",B103=""),"",SUMIFS(Paradas!$F$5:$F$1004,Paradas!$A$5:$A$1004,A103,Paradas!$B$5:$B$1004,B103))</f>
        <v/>
      </c>
      <c r="L103" s="12">
        <f>IF(J103="","",J103-N(K103))</f>
        <v/>
      </c>
      <c r="M103" s="13">
        <f>IF(OR(A103="",B103=""),"",COUNTIFS(Paradas!$A$5:$A$1004,A103,Paradas!$B$5:$B$1004,B103))</f>
        <v/>
      </c>
      <c r="N103" s="12">
        <f>IF(OR(H103="",I103=""),"",I103-H103)</f>
        <v/>
      </c>
      <c r="O103" s="7" t="n"/>
    </row>
    <row r="104">
      <c r="A104" s="14" t="n"/>
      <c r="B104" s="7" t="n"/>
      <c r="C104" s="7" t="n"/>
      <c r="D104" s="7" t="n"/>
      <c r="E104" s="15" t="n"/>
      <c r="F104" s="15" t="n"/>
      <c r="G104" s="15" t="n"/>
      <c r="H104" s="16" t="n"/>
      <c r="I104" s="16" t="n"/>
      <c r="J104" s="12">
        <f>IF(OR(E104="",F104=""),"",ROUND((MOD(F104-E104,1)-N(G104))*24,2))</f>
        <v/>
      </c>
      <c r="K104" s="12">
        <f>IF(OR(A104="",B104=""),"",SUMIFS(Paradas!$F$5:$F$1004,Paradas!$A$5:$A$1004,A104,Paradas!$B$5:$B$1004,B104))</f>
        <v/>
      </c>
      <c r="L104" s="12">
        <f>IF(J104="","",J104-N(K104))</f>
        <v/>
      </c>
      <c r="M104" s="13">
        <f>IF(OR(A104="",B104=""),"",COUNTIFS(Paradas!$A$5:$A$1004,A104,Paradas!$B$5:$B$1004,B104))</f>
        <v/>
      </c>
      <c r="N104" s="12">
        <f>IF(OR(H104="",I104=""),"",I104-H104)</f>
        <v/>
      </c>
      <c r="O104" s="7" t="n"/>
    </row>
    <row r="105">
      <c r="A105" s="14" t="n"/>
      <c r="B105" s="7" t="n"/>
      <c r="C105" s="7" t="n"/>
      <c r="D105" s="7" t="n"/>
      <c r="E105" s="15" t="n"/>
      <c r="F105" s="15" t="n"/>
      <c r="G105" s="15" t="n"/>
      <c r="H105" s="16" t="n"/>
      <c r="I105" s="16" t="n"/>
      <c r="J105" s="12">
        <f>IF(OR(E105="",F105=""),"",ROUND((MOD(F105-E105,1)-N(G105))*24,2))</f>
        <v/>
      </c>
      <c r="K105" s="12">
        <f>IF(OR(A105="",B105=""),"",SUMIFS(Paradas!$F$5:$F$1004,Paradas!$A$5:$A$1004,A105,Paradas!$B$5:$B$1004,B105))</f>
        <v/>
      </c>
      <c r="L105" s="12">
        <f>IF(J105="","",J105-N(K105))</f>
        <v/>
      </c>
      <c r="M105" s="13">
        <f>IF(OR(A105="",B105=""),"",COUNTIFS(Paradas!$A$5:$A$1004,A105,Paradas!$B$5:$B$1004,B105))</f>
        <v/>
      </c>
      <c r="N105" s="12">
        <f>IF(OR(H105="",I105=""),"",I105-H105)</f>
        <v/>
      </c>
      <c r="O105" s="7" t="n"/>
    </row>
    <row r="106">
      <c r="A106" s="14" t="n"/>
      <c r="B106" s="7" t="n"/>
      <c r="C106" s="7" t="n"/>
      <c r="D106" s="7" t="n"/>
      <c r="E106" s="15" t="n"/>
      <c r="F106" s="15" t="n"/>
      <c r="G106" s="15" t="n"/>
      <c r="H106" s="16" t="n"/>
      <c r="I106" s="16" t="n"/>
      <c r="J106" s="12">
        <f>IF(OR(E106="",F106=""),"",ROUND((MOD(F106-E106,1)-N(G106))*24,2))</f>
        <v/>
      </c>
      <c r="K106" s="12">
        <f>IF(OR(A106="",B106=""),"",SUMIFS(Paradas!$F$5:$F$1004,Paradas!$A$5:$A$1004,A106,Paradas!$B$5:$B$1004,B106))</f>
        <v/>
      </c>
      <c r="L106" s="12">
        <f>IF(J106="","",J106-N(K106))</f>
        <v/>
      </c>
      <c r="M106" s="13">
        <f>IF(OR(A106="",B106=""),"",COUNTIFS(Paradas!$A$5:$A$1004,A106,Paradas!$B$5:$B$1004,B106))</f>
        <v/>
      </c>
      <c r="N106" s="12">
        <f>IF(OR(H106="",I106=""),"",I106-H106)</f>
        <v/>
      </c>
      <c r="O106" s="7" t="n"/>
    </row>
    <row r="107">
      <c r="A107" s="14" t="n"/>
      <c r="B107" s="7" t="n"/>
      <c r="C107" s="7" t="n"/>
      <c r="D107" s="7" t="n"/>
      <c r="E107" s="15" t="n"/>
      <c r="F107" s="15" t="n"/>
      <c r="G107" s="15" t="n"/>
      <c r="H107" s="16" t="n"/>
      <c r="I107" s="16" t="n"/>
      <c r="J107" s="12">
        <f>IF(OR(E107="",F107=""),"",ROUND((MOD(F107-E107,1)-N(G107))*24,2))</f>
        <v/>
      </c>
      <c r="K107" s="12">
        <f>IF(OR(A107="",B107=""),"",SUMIFS(Paradas!$F$5:$F$1004,Paradas!$A$5:$A$1004,A107,Paradas!$B$5:$B$1004,B107))</f>
        <v/>
      </c>
      <c r="L107" s="12">
        <f>IF(J107="","",J107-N(K107))</f>
        <v/>
      </c>
      <c r="M107" s="13">
        <f>IF(OR(A107="",B107=""),"",COUNTIFS(Paradas!$A$5:$A$1004,A107,Paradas!$B$5:$B$1004,B107))</f>
        <v/>
      </c>
      <c r="N107" s="12">
        <f>IF(OR(H107="",I107=""),"",I107-H107)</f>
        <v/>
      </c>
      <c r="O107" s="7" t="n"/>
    </row>
    <row r="108">
      <c r="A108" s="14" t="n"/>
      <c r="B108" s="7" t="n"/>
      <c r="C108" s="7" t="n"/>
      <c r="D108" s="7" t="n"/>
      <c r="E108" s="15" t="n"/>
      <c r="F108" s="15" t="n"/>
      <c r="G108" s="15" t="n"/>
      <c r="H108" s="16" t="n"/>
      <c r="I108" s="16" t="n"/>
      <c r="J108" s="12">
        <f>IF(OR(E108="",F108=""),"",ROUND((MOD(F108-E108,1)-N(G108))*24,2))</f>
        <v/>
      </c>
      <c r="K108" s="12">
        <f>IF(OR(A108="",B108=""),"",SUMIFS(Paradas!$F$5:$F$1004,Paradas!$A$5:$A$1004,A108,Paradas!$B$5:$B$1004,B108))</f>
        <v/>
      </c>
      <c r="L108" s="12">
        <f>IF(J108="","",J108-N(K108))</f>
        <v/>
      </c>
      <c r="M108" s="13">
        <f>IF(OR(A108="",B108=""),"",COUNTIFS(Paradas!$A$5:$A$1004,A108,Paradas!$B$5:$B$1004,B108))</f>
        <v/>
      </c>
      <c r="N108" s="12">
        <f>IF(OR(H108="",I108=""),"",I108-H108)</f>
        <v/>
      </c>
      <c r="O108" s="7" t="n"/>
    </row>
    <row r="109">
      <c r="A109" s="14" t="n"/>
      <c r="B109" s="7" t="n"/>
      <c r="C109" s="7" t="n"/>
      <c r="D109" s="7" t="n"/>
      <c r="E109" s="15" t="n"/>
      <c r="F109" s="15" t="n"/>
      <c r="G109" s="15" t="n"/>
      <c r="H109" s="16" t="n"/>
      <c r="I109" s="16" t="n"/>
      <c r="J109" s="12">
        <f>IF(OR(E109="",F109=""),"",ROUND((MOD(F109-E109,1)-N(G109))*24,2))</f>
        <v/>
      </c>
      <c r="K109" s="12">
        <f>IF(OR(A109="",B109=""),"",SUMIFS(Paradas!$F$5:$F$1004,Paradas!$A$5:$A$1004,A109,Paradas!$B$5:$B$1004,B109))</f>
        <v/>
      </c>
      <c r="L109" s="12">
        <f>IF(J109="","",J109-N(K109))</f>
        <v/>
      </c>
      <c r="M109" s="13">
        <f>IF(OR(A109="",B109=""),"",COUNTIFS(Paradas!$A$5:$A$1004,A109,Paradas!$B$5:$B$1004,B109))</f>
        <v/>
      </c>
      <c r="N109" s="12">
        <f>IF(OR(H109="",I109=""),"",I109-H109)</f>
        <v/>
      </c>
      <c r="O109" s="7" t="n"/>
    </row>
    <row r="110">
      <c r="A110" s="14" t="n"/>
      <c r="B110" s="7" t="n"/>
      <c r="C110" s="7" t="n"/>
      <c r="D110" s="7" t="n"/>
      <c r="E110" s="15" t="n"/>
      <c r="F110" s="15" t="n"/>
      <c r="G110" s="15" t="n"/>
      <c r="H110" s="16" t="n"/>
      <c r="I110" s="16" t="n"/>
      <c r="J110" s="12">
        <f>IF(OR(E110="",F110=""),"",ROUND((MOD(F110-E110,1)-N(G110))*24,2))</f>
        <v/>
      </c>
      <c r="K110" s="12">
        <f>IF(OR(A110="",B110=""),"",SUMIFS(Paradas!$F$5:$F$1004,Paradas!$A$5:$A$1004,A110,Paradas!$B$5:$B$1004,B110))</f>
        <v/>
      </c>
      <c r="L110" s="12">
        <f>IF(J110="","",J110-N(K110))</f>
        <v/>
      </c>
      <c r="M110" s="13">
        <f>IF(OR(A110="",B110=""),"",COUNTIFS(Paradas!$A$5:$A$1004,A110,Paradas!$B$5:$B$1004,B110))</f>
        <v/>
      </c>
      <c r="N110" s="12">
        <f>IF(OR(H110="",I110=""),"",I110-H110)</f>
        <v/>
      </c>
      <c r="O110" s="7" t="n"/>
    </row>
    <row r="111">
      <c r="A111" s="14" t="n"/>
      <c r="B111" s="7" t="n"/>
      <c r="C111" s="7" t="n"/>
      <c r="D111" s="7" t="n"/>
      <c r="E111" s="15" t="n"/>
      <c r="F111" s="15" t="n"/>
      <c r="G111" s="15" t="n"/>
      <c r="H111" s="16" t="n"/>
      <c r="I111" s="16" t="n"/>
      <c r="J111" s="12">
        <f>IF(OR(E111="",F111=""),"",ROUND((MOD(F111-E111,1)-N(G111))*24,2))</f>
        <v/>
      </c>
      <c r="K111" s="12">
        <f>IF(OR(A111="",B111=""),"",SUMIFS(Paradas!$F$5:$F$1004,Paradas!$A$5:$A$1004,A111,Paradas!$B$5:$B$1004,B111))</f>
        <v/>
      </c>
      <c r="L111" s="12">
        <f>IF(J111="","",J111-N(K111))</f>
        <v/>
      </c>
      <c r="M111" s="13">
        <f>IF(OR(A111="",B111=""),"",COUNTIFS(Paradas!$A$5:$A$1004,A111,Paradas!$B$5:$B$1004,B111))</f>
        <v/>
      </c>
      <c r="N111" s="12">
        <f>IF(OR(H111="",I111=""),"",I111-H111)</f>
        <v/>
      </c>
      <c r="O111" s="7" t="n"/>
    </row>
    <row r="112">
      <c r="A112" s="14" t="n"/>
      <c r="B112" s="7" t="n"/>
      <c r="C112" s="7" t="n"/>
      <c r="D112" s="7" t="n"/>
      <c r="E112" s="15" t="n"/>
      <c r="F112" s="15" t="n"/>
      <c r="G112" s="15" t="n"/>
      <c r="H112" s="16" t="n"/>
      <c r="I112" s="16" t="n"/>
      <c r="J112" s="12">
        <f>IF(OR(E112="",F112=""),"",ROUND((MOD(F112-E112,1)-N(G112))*24,2))</f>
        <v/>
      </c>
      <c r="K112" s="12">
        <f>IF(OR(A112="",B112=""),"",SUMIFS(Paradas!$F$5:$F$1004,Paradas!$A$5:$A$1004,A112,Paradas!$B$5:$B$1004,B112))</f>
        <v/>
      </c>
      <c r="L112" s="12">
        <f>IF(J112="","",J112-N(K112))</f>
        <v/>
      </c>
      <c r="M112" s="13">
        <f>IF(OR(A112="",B112=""),"",COUNTIFS(Paradas!$A$5:$A$1004,A112,Paradas!$B$5:$B$1004,B112))</f>
        <v/>
      </c>
      <c r="N112" s="12">
        <f>IF(OR(H112="",I112=""),"",I112-H112)</f>
        <v/>
      </c>
      <c r="O112" s="7" t="n"/>
    </row>
    <row r="113">
      <c r="A113" s="14" t="n"/>
      <c r="B113" s="7" t="n"/>
      <c r="C113" s="7" t="n"/>
      <c r="D113" s="7" t="n"/>
      <c r="E113" s="15" t="n"/>
      <c r="F113" s="15" t="n"/>
      <c r="G113" s="15" t="n"/>
      <c r="H113" s="16" t="n"/>
      <c r="I113" s="16" t="n"/>
      <c r="J113" s="12">
        <f>IF(OR(E113="",F113=""),"",ROUND((MOD(F113-E113,1)-N(G113))*24,2))</f>
        <v/>
      </c>
      <c r="K113" s="12">
        <f>IF(OR(A113="",B113=""),"",SUMIFS(Paradas!$F$5:$F$1004,Paradas!$A$5:$A$1004,A113,Paradas!$B$5:$B$1004,B113))</f>
        <v/>
      </c>
      <c r="L113" s="12">
        <f>IF(J113="","",J113-N(K113))</f>
        <v/>
      </c>
      <c r="M113" s="13">
        <f>IF(OR(A113="",B113=""),"",COUNTIFS(Paradas!$A$5:$A$1004,A113,Paradas!$B$5:$B$1004,B113))</f>
        <v/>
      </c>
      <c r="N113" s="12">
        <f>IF(OR(H113="",I113=""),"",I113-H113)</f>
        <v/>
      </c>
      <c r="O113" s="7" t="n"/>
    </row>
    <row r="114">
      <c r="A114" s="14" t="n"/>
      <c r="B114" s="7" t="n"/>
      <c r="C114" s="7" t="n"/>
      <c r="D114" s="7" t="n"/>
      <c r="E114" s="15" t="n"/>
      <c r="F114" s="15" t="n"/>
      <c r="G114" s="15" t="n"/>
      <c r="H114" s="16" t="n"/>
      <c r="I114" s="16" t="n"/>
      <c r="J114" s="12">
        <f>IF(OR(E114="",F114=""),"",ROUND((MOD(F114-E114,1)-N(G114))*24,2))</f>
        <v/>
      </c>
      <c r="K114" s="12">
        <f>IF(OR(A114="",B114=""),"",SUMIFS(Paradas!$F$5:$F$1004,Paradas!$A$5:$A$1004,A114,Paradas!$B$5:$B$1004,B114))</f>
        <v/>
      </c>
      <c r="L114" s="12">
        <f>IF(J114="","",J114-N(K114))</f>
        <v/>
      </c>
      <c r="M114" s="13">
        <f>IF(OR(A114="",B114=""),"",COUNTIFS(Paradas!$A$5:$A$1004,A114,Paradas!$B$5:$B$1004,B114))</f>
        <v/>
      </c>
      <c r="N114" s="12">
        <f>IF(OR(H114="",I114=""),"",I114-H114)</f>
        <v/>
      </c>
      <c r="O114" s="7" t="n"/>
    </row>
    <row r="115">
      <c r="A115" s="14" t="n"/>
      <c r="B115" s="7" t="n"/>
      <c r="C115" s="7" t="n"/>
      <c r="D115" s="7" t="n"/>
      <c r="E115" s="15" t="n"/>
      <c r="F115" s="15" t="n"/>
      <c r="G115" s="15" t="n"/>
      <c r="H115" s="16" t="n"/>
      <c r="I115" s="16" t="n"/>
      <c r="J115" s="12">
        <f>IF(OR(E115="",F115=""),"",ROUND((MOD(F115-E115,1)-N(G115))*24,2))</f>
        <v/>
      </c>
      <c r="K115" s="12">
        <f>IF(OR(A115="",B115=""),"",SUMIFS(Paradas!$F$5:$F$1004,Paradas!$A$5:$A$1004,A115,Paradas!$B$5:$B$1004,B115))</f>
        <v/>
      </c>
      <c r="L115" s="12">
        <f>IF(J115="","",J115-N(K115))</f>
        <v/>
      </c>
      <c r="M115" s="13">
        <f>IF(OR(A115="",B115=""),"",COUNTIFS(Paradas!$A$5:$A$1004,A115,Paradas!$B$5:$B$1004,B115))</f>
        <v/>
      </c>
      <c r="N115" s="12">
        <f>IF(OR(H115="",I115=""),"",I115-H115)</f>
        <v/>
      </c>
      <c r="O115" s="7" t="n"/>
    </row>
    <row r="116">
      <c r="A116" s="14" t="n"/>
      <c r="B116" s="7" t="n"/>
      <c r="C116" s="7" t="n"/>
      <c r="D116" s="7" t="n"/>
      <c r="E116" s="15" t="n"/>
      <c r="F116" s="15" t="n"/>
      <c r="G116" s="15" t="n"/>
      <c r="H116" s="16" t="n"/>
      <c r="I116" s="16" t="n"/>
      <c r="J116" s="12">
        <f>IF(OR(E116="",F116=""),"",ROUND((MOD(F116-E116,1)-N(G116))*24,2))</f>
        <v/>
      </c>
      <c r="K116" s="12">
        <f>IF(OR(A116="",B116=""),"",SUMIFS(Paradas!$F$5:$F$1004,Paradas!$A$5:$A$1004,A116,Paradas!$B$5:$B$1004,B116))</f>
        <v/>
      </c>
      <c r="L116" s="12">
        <f>IF(J116="","",J116-N(K116))</f>
        <v/>
      </c>
      <c r="M116" s="13">
        <f>IF(OR(A116="",B116=""),"",COUNTIFS(Paradas!$A$5:$A$1004,A116,Paradas!$B$5:$B$1004,B116))</f>
        <v/>
      </c>
      <c r="N116" s="12">
        <f>IF(OR(H116="",I116=""),"",I116-H116)</f>
        <v/>
      </c>
      <c r="O116" s="7" t="n"/>
    </row>
    <row r="117">
      <c r="A117" s="14" t="n"/>
      <c r="B117" s="7" t="n"/>
      <c r="C117" s="7" t="n"/>
      <c r="D117" s="7" t="n"/>
      <c r="E117" s="15" t="n"/>
      <c r="F117" s="15" t="n"/>
      <c r="G117" s="15" t="n"/>
      <c r="H117" s="16" t="n"/>
      <c r="I117" s="16" t="n"/>
      <c r="J117" s="12">
        <f>IF(OR(E117="",F117=""),"",ROUND((MOD(F117-E117,1)-N(G117))*24,2))</f>
        <v/>
      </c>
      <c r="K117" s="12">
        <f>IF(OR(A117="",B117=""),"",SUMIFS(Paradas!$F$5:$F$1004,Paradas!$A$5:$A$1004,A117,Paradas!$B$5:$B$1004,B117))</f>
        <v/>
      </c>
      <c r="L117" s="12">
        <f>IF(J117="","",J117-N(K117))</f>
        <v/>
      </c>
      <c r="M117" s="13">
        <f>IF(OR(A117="",B117=""),"",COUNTIFS(Paradas!$A$5:$A$1004,A117,Paradas!$B$5:$B$1004,B117))</f>
        <v/>
      </c>
      <c r="N117" s="12">
        <f>IF(OR(H117="",I117=""),"",I117-H117)</f>
        <v/>
      </c>
      <c r="O117" s="7" t="n"/>
    </row>
    <row r="118">
      <c r="A118" s="14" t="n"/>
      <c r="B118" s="7" t="n"/>
      <c r="C118" s="7" t="n"/>
      <c r="D118" s="7" t="n"/>
      <c r="E118" s="15" t="n"/>
      <c r="F118" s="15" t="n"/>
      <c r="G118" s="15" t="n"/>
      <c r="H118" s="16" t="n"/>
      <c r="I118" s="16" t="n"/>
      <c r="J118" s="12">
        <f>IF(OR(E118="",F118=""),"",ROUND((MOD(F118-E118,1)-N(G118))*24,2))</f>
        <v/>
      </c>
      <c r="K118" s="12">
        <f>IF(OR(A118="",B118=""),"",SUMIFS(Paradas!$F$5:$F$1004,Paradas!$A$5:$A$1004,A118,Paradas!$B$5:$B$1004,B118))</f>
        <v/>
      </c>
      <c r="L118" s="12">
        <f>IF(J118="","",J118-N(K118))</f>
        <v/>
      </c>
      <c r="M118" s="13">
        <f>IF(OR(A118="",B118=""),"",COUNTIFS(Paradas!$A$5:$A$1004,A118,Paradas!$B$5:$B$1004,B118))</f>
        <v/>
      </c>
      <c r="N118" s="12">
        <f>IF(OR(H118="",I118=""),"",I118-H118)</f>
        <v/>
      </c>
      <c r="O118" s="7" t="n"/>
    </row>
    <row r="119">
      <c r="A119" s="14" t="n"/>
      <c r="B119" s="7" t="n"/>
      <c r="C119" s="7" t="n"/>
      <c r="D119" s="7" t="n"/>
      <c r="E119" s="15" t="n"/>
      <c r="F119" s="15" t="n"/>
      <c r="G119" s="15" t="n"/>
      <c r="H119" s="16" t="n"/>
      <c r="I119" s="16" t="n"/>
      <c r="J119" s="12">
        <f>IF(OR(E119="",F119=""),"",ROUND((MOD(F119-E119,1)-N(G119))*24,2))</f>
        <v/>
      </c>
      <c r="K119" s="12">
        <f>IF(OR(A119="",B119=""),"",SUMIFS(Paradas!$F$5:$F$1004,Paradas!$A$5:$A$1004,A119,Paradas!$B$5:$B$1004,B119))</f>
        <v/>
      </c>
      <c r="L119" s="12">
        <f>IF(J119="","",J119-N(K119))</f>
        <v/>
      </c>
      <c r="M119" s="13">
        <f>IF(OR(A119="",B119=""),"",COUNTIFS(Paradas!$A$5:$A$1004,A119,Paradas!$B$5:$B$1004,B119))</f>
        <v/>
      </c>
      <c r="N119" s="12">
        <f>IF(OR(H119="",I119=""),"",I119-H119)</f>
        <v/>
      </c>
      <c r="O119" s="7" t="n"/>
    </row>
    <row r="120">
      <c r="A120" s="14" t="n"/>
      <c r="B120" s="7" t="n"/>
      <c r="C120" s="7" t="n"/>
      <c r="D120" s="7" t="n"/>
      <c r="E120" s="15" t="n"/>
      <c r="F120" s="15" t="n"/>
      <c r="G120" s="15" t="n"/>
      <c r="H120" s="16" t="n"/>
      <c r="I120" s="16" t="n"/>
      <c r="J120" s="12">
        <f>IF(OR(E120="",F120=""),"",ROUND((MOD(F120-E120,1)-N(G120))*24,2))</f>
        <v/>
      </c>
      <c r="K120" s="12">
        <f>IF(OR(A120="",B120=""),"",SUMIFS(Paradas!$F$5:$F$1004,Paradas!$A$5:$A$1004,A120,Paradas!$B$5:$B$1004,B120))</f>
        <v/>
      </c>
      <c r="L120" s="12">
        <f>IF(J120="","",J120-N(K120))</f>
        <v/>
      </c>
      <c r="M120" s="13">
        <f>IF(OR(A120="",B120=""),"",COUNTIFS(Paradas!$A$5:$A$1004,A120,Paradas!$B$5:$B$1004,B120))</f>
        <v/>
      </c>
      <c r="N120" s="12">
        <f>IF(OR(H120="",I120=""),"",I120-H120)</f>
        <v/>
      </c>
      <c r="O120" s="7" t="n"/>
    </row>
    <row r="121">
      <c r="A121" s="14" t="n"/>
      <c r="B121" s="7" t="n"/>
      <c r="C121" s="7" t="n"/>
      <c r="D121" s="7" t="n"/>
      <c r="E121" s="15" t="n"/>
      <c r="F121" s="15" t="n"/>
      <c r="G121" s="15" t="n"/>
      <c r="H121" s="16" t="n"/>
      <c r="I121" s="16" t="n"/>
      <c r="J121" s="12">
        <f>IF(OR(E121="",F121=""),"",ROUND((MOD(F121-E121,1)-N(G121))*24,2))</f>
        <v/>
      </c>
      <c r="K121" s="12">
        <f>IF(OR(A121="",B121=""),"",SUMIFS(Paradas!$F$5:$F$1004,Paradas!$A$5:$A$1004,A121,Paradas!$B$5:$B$1004,B121))</f>
        <v/>
      </c>
      <c r="L121" s="12">
        <f>IF(J121="","",J121-N(K121))</f>
        <v/>
      </c>
      <c r="M121" s="13">
        <f>IF(OR(A121="",B121=""),"",COUNTIFS(Paradas!$A$5:$A$1004,A121,Paradas!$B$5:$B$1004,B121))</f>
        <v/>
      </c>
      <c r="N121" s="12">
        <f>IF(OR(H121="",I121=""),"",I121-H121)</f>
        <v/>
      </c>
      <c r="O121" s="7" t="n"/>
    </row>
    <row r="122">
      <c r="A122" s="14" t="n"/>
      <c r="B122" s="7" t="n"/>
      <c r="C122" s="7" t="n"/>
      <c r="D122" s="7" t="n"/>
      <c r="E122" s="15" t="n"/>
      <c r="F122" s="15" t="n"/>
      <c r="G122" s="15" t="n"/>
      <c r="H122" s="16" t="n"/>
      <c r="I122" s="16" t="n"/>
      <c r="J122" s="12">
        <f>IF(OR(E122="",F122=""),"",ROUND((MOD(F122-E122,1)-N(G122))*24,2))</f>
        <v/>
      </c>
      <c r="K122" s="12">
        <f>IF(OR(A122="",B122=""),"",SUMIFS(Paradas!$F$5:$F$1004,Paradas!$A$5:$A$1004,A122,Paradas!$B$5:$B$1004,B122))</f>
        <v/>
      </c>
      <c r="L122" s="12">
        <f>IF(J122="","",J122-N(K122))</f>
        <v/>
      </c>
      <c r="M122" s="13">
        <f>IF(OR(A122="",B122=""),"",COUNTIFS(Paradas!$A$5:$A$1004,A122,Paradas!$B$5:$B$1004,B122))</f>
        <v/>
      </c>
      <c r="N122" s="12">
        <f>IF(OR(H122="",I122=""),"",I122-H122)</f>
        <v/>
      </c>
      <c r="O122" s="7" t="n"/>
    </row>
    <row r="123">
      <c r="A123" s="14" t="n"/>
      <c r="B123" s="7" t="n"/>
      <c r="C123" s="7" t="n"/>
      <c r="D123" s="7" t="n"/>
      <c r="E123" s="15" t="n"/>
      <c r="F123" s="15" t="n"/>
      <c r="G123" s="15" t="n"/>
      <c r="H123" s="16" t="n"/>
      <c r="I123" s="16" t="n"/>
      <c r="J123" s="12">
        <f>IF(OR(E123="",F123=""),"",ROUND((MOD(F123-E123,1)-N(G123))*24,2))</f>
        <v/>
      </c>
      <c r="K123" s="12">
        <f>IF(OR(A123="",B123=""),"",SUMIFS(Paradas!$F$5:$F$1004,Paradas!$A$5:$A$1004,A123,Paradas!$B$5:$B$1004,B123))</f>
        <v/>
      </c>
      <c r="L123" s="12">
        <f>IF(J123="","",J123-N(K123))</f>
        <v/>
      </c>
      <c r="M123" s="13">
        <f>IF(OR(A123="",B123=""),"",COUNTIFS(Paradas!$A$5:$A$1004,A123,Paradas!$B$5:$B$1004,B123))</f>
        <v/>
      </c>
      <c r="N123" s="12">
        <f>IF(OR(H123="",I123=""),"",I123-H123)</f>
        <v/>
      </c>
      <c r="O123" s="7" t="n"/>
    </row>
    <row r="124">
      <c r="A124" s="14" t="n"/>
      <c r="B124" s="7" t="n"/>
      <c r="C124" s="7" t="n"/>
      <c r="D124" s="7" t="n"/>
      <c r="E124" s="15" t="n"/>
      <c r="F124" s="15" t="n"/>
      <c r="G124" s="15" t="n"/>
      <c r="H124" s="16" t="n"/>
      <c r="I124" s="16" t="n"/>
      <c r="J124" s="12">
        <f>IF(OR(E124="",F124=""),"",ROUND((MOD(F124-E124,1)-N(G124))*24,2))</f>
        <v/>
      </c>
      <c r="K124" s="12">
        <f>IF(OR(A124="",B124=""),"",SUMIFS(Paradas!$F$5:$F$1004,Paradas!$A$5:$A$1004,A124,Paradas!$B$5:$B$1004,B124))</f>
        <v/>
      </c>
      <c r="L124" s="12">
        <f>IF(J124="","",J124-N(K124))</f>
        <v/>
      </c>
      <c r="M124" s="13">
        <f>IF(OR(A124="",B124=""),"",COUNTIFS(Paradas!$A$5:$A$1004,A124,Paradas!$B$5:$B$1004,B124))</f>
        <v/>
      </c>
      <c r="N124" s="12">
        <f>IF(OR(H124="",I124=""),"",I124-H124)</f>
        <v/>
      </c>
      <c r="O124" s="7" t="n"/>
    </row>
    <row r="125">
      <c r="A125" s="14" t="n"/>
      <c r="B125" s="7" t="n"/>
      <c r="C125" s="7" t="n"/>
      <c r="D125" s="7" t="n"/>
      <c r="E125" s="15" t="n"/>
      <c r="F125" s="15" t="n"/>
      <c r="G125" s="15" t="n"/>
      <c r="H125" s="16" t="n"/>
      <c r="I125" s="16" t="n"/>
      <c r="J125" s="12">
        <f>IF(OR(E125="",F125=""),"",ROUND((MOD(F125-E125,1)-N(G125))*24,2))</f>
        <v/>
      </c>
      <c r="K125" s="12">
        <f>IF(OR(A125="",B125=""),"",SUMIFS(Paradas!$F$5:$F$1004,Paradas!$A$5:$A$1004,A125,Paradas!$B$5:$B$1004,B125))</f>
        <v/>
      </c>
      <c r="L125" s="12">
        <f>IF(J125="","",J125-N(K125))</f>
        <v/>
      </c>
      <c r="M125" s="13">
        <f>IF(OR(A125="",B125=""),"",COUNTIFS(Paradas!$A$5:$A$1004,A125,Paradas!$B$5:$B$1004,B125))</f>
        <v/>
      </c>
      <c r="N125" s="12">
        <f>IF(OR(H125="",I125=""),"",I125-H125)</f>
        <v/>
      </c>
      <c r="O125" s="7" t="n"/>
    </row>
    <row r="126">
      <c r="A126" s="14" t="n"/>
      <c r="B126" s="7" t="n"/>
      <c r="C126" s="7" t="n"/>
      <c r="D126" s="7" t="n"/>
      <c r="E126" s="15" t="n"/>
      <c r="F126" s="15" t="n"/>
      <c r="G126" s="15" t="n"/>
      <c r="H126" s="16" t="n"/>
      <c r="I126" s="16" t="n"/>
      <c r="J126" s="12">
        <f>IF(OR(E126="",F126=""),"",ROUND((MOD(F126-E126,1)-N(G126))*24,2))</f>
        <v/>
      </c>
      <c r="K126" s="12">
        <f>IF(OR(A126="",B126=""),"",SUMIFS(Paradas!$F$5:$F$1004,Paradas!$A$5:$A$1004,A126,Paradas!$B$5:$B$1004,B126))</f>
        <v/>
      </c>
      <c r="L126" s="12">
        <f>IF(J126="","",J126-N(K126))</f>
        <v/>
      </c>
      <c r="M126" s="13">
        <f>IF(OR(A126="",B126=""),"",COUNTIFS(Paradas!$A$5:$A$1004,A126,Paradas!$B$5:$B$1004,B126))</f>
        <v/>
      </c>
      <c r="N126" s="12">
        <f>IF(OR(H126="",I126=""),"",I126-H126)</f>
        <v/>
      </c>
      <c r="O126" s="7" t="n"/>
    </row>
    <row r="127">
      <c r="A127" s="14" t="n"/>
      <c r="B127" s="7" t="n"/>
      <c r="C127" s="7" t="n"/>
      <c r="D127" s="7" t="n"/>
      <c r="E127" s="15" t="n"/>
      <c r="F127" s="15" t="n"/>
      <c r="G127" s="15" t="n"/>
      <c r="H127" s="16" t="n"/>
      <c r="I127" s="16" t="n"/>
      <c r="J127" s="12">
        <f>IF(OR(E127="",F127=""),"",ROUND((MOD(F127-E127,1)-N(G127))*24,2))</f>
        <v/>
      </c>
      <c r="K127" s="12">
        <f>IF(OR(A127="",B127=""),"",SUMIFS(Paradas!$F$5:$F$1004,Paradas!$A$5:$A$1004,A127,Paradas!$B$5:$B$1004,B127))</f>
        <v/>
      </c>
      <c r="L127" s="12">
        <f>IF(J127="","",J127-N(K127))</f>
        <v/>
      </c>
      <c r="M127" s="13">
        <f>IF(OR(A127="",B127=""),"",COUNTIFS(Paradas!$A$5:$A$1004,A127,Paradas!$B$5:$B$1004,B127))</f>
        <v/>
      </c>
      <c r="N127" s="12">
        <f>IF(OR(H127="",I127=""),"",I127-H127)</f>
        <v/>
      </c>
      <c r="O127" s="7" t="n"/>
    </row>
    <row r="128">
      <c r="A128" s="14" t="n"/>
      <c r="B128" s="7" t="n"/>
      <c r="C128" s="7" t="n"/>
      <c r="D128" s="7" t="n"/>
      <c r="E128" s="15" t="n"/>
      <c r="F128" s="15" t="n"/>
      <c r="G128" s="15" t="n"/>
      <c r="H128" s="16" t="n"/>
      <c r="I128" s="16" t="n"/>
      <c r="J128" s="12">
        <f>IF(OR(E128="",F128=""),"",ROUND((MOD(F128-E128,1)-N(G128))*24,2))</f>
        <v/>
      </c>
      <c r="K128" s="12">
        <f>IF(OR(A128="",B128=""),"",SUMIFS(Paradas!$F$5:$F$1004,Paradas!$A$5:$A$1004,A128,Paradas!$B$5:$B$1004,B128))</f>
        <v/>
      </c>
      <c r="L128" s="12">
        <f>IF(J128="","",J128-N(K128))</f>
        <v/>
      </c>
      <c r="M128" s="13">
        <f>IF(OR(A128="",B128=""),"",COUNTIFS(Paradas!$A$5:$A$1004,A128,Paradas!$B$5:$B$1004,B128))</f>
        <v/>
      </c>
      <c r="N128" s="12">
        <f>IF(OR(H128="",I128=""),"",I128-H128)</f>
        <v/>
      </c>
      <c r="O128" s="7" t="n"/>
    </row>
    <row r="129">
      <c r="A129" s="14" t="n"/>
      <c r="B129" s="7" t="n"/>
      <c r="C129" s="7" t="n"/>
      <c r="D129" s="7" t="n"/>
      <c r="E129" s="15" t="n"/>
      <c r="F129" s="15" t="n"/>
      <c r="G129" s="15" t="n"/>
      <c r="H129" s="16" t="n"/>
      <c r="I129" s="16" t="n"/>
      <c r="J129" s="12">
        <f>IF(OR(E129="",F129=""),"",ROUND((MOD(F129-E129,1)-N(G129))*24,2))</f>
        <v/>
      </c>
      <c r="K129" s="12">
        <f>IF(OR(A129="",B129=""),"",SUMIFS(Paradas!$F$5:$F$1004,Paradas!$A$5:$A$1004,A129,Paradas!$B$5:$B$1004,B129))</f>
        <v/>
      </c>
      <c r="L129" s="12">
        <f>IF(J129="","",J129-N(K129))</f>
        <v/>
      </c>
      <c r="M129" s="13">
        <f>IF(OR(A129="",B129=""),"",COUNTIFS(Paradas!$A$5:$A$1004,A129,Paradas!$B$5:$B$1004,B129))</f>
        <v/>
      </c>
      <c r="N129" s="12">
        <f>IF(OR(H129="",I129=""),"",I129-H129)</f>
        <v/>
      </c>
      <c r="O129" s="7" t="n"/>
    </row>
    <row r="130">
      <c r="A130" s="14" t="n"/>
      <c r="B130" s="7" t="n"/>
      <c r="C130" s="7" t="n"/>
      <c r="D130" s="7" t="n"/>
      <c r="E130" s="15" t="n"/>
      <c r="F130" s="15" t="n"/>
      <c r="G130" s="15" t="n"/>
      <c r="H130" s="16" t="n"/>
      <c r="I130" s="16" t="n"/>
      <c r="J130" s="12">
        <f>IF(OR(E130="",F130=""),"",ROUND((MOD(F130-E130,1)-N(G130))*24,2))</f>
        <v/>
      </c>
      <c r="K130" s="12">
        <f>IF(OR(A130="",B130=""),"",SUMIFS(Paradas!$F$5:$F$1004,Paradas!$A$5:$A$1004,A130,Paradas!$B$5:$B$1004,B130))</f>
        <v/>
      </c>
      <c r="L130" s="12">
        <f>IF(J130="","",J130-N(K130))</f>
        <v/>
      </c>
      <c r="M130" s="13">
        <f>IF(OR(A130="",B130=""),"",COUNTIFS(Paradas!$A$5:$A$1004,A130,Paradas!$B$5:$B$1004,B130))</f>
        <v/>
      </c>
      <c r="N130" s="12">
        <f>IF(OR(H130="",I130=""),"",I130-H130)</f>
        <v/>
      </c>
      <c r="O130" s="7" t="n"/>
    </row>
    <row r="131">
      <c r="A131" s="14" t="n"/>
      <c r="B131" s="7" t="n"/>
      <c r="C131" s="7" t="n"/>
      <c r="D131" s="7" t="n"/>
      <c r="E131" s="15" t="n"/>
      <c r="F131" s="15" t="n"/>
      <c r="G131" s="15" t="n"/>
      <c r="H131" s="16" t="n"/>
      <c r="I131" s="16" t="n"/>
      <c r="J131" s="12">
        <f>IF(OR(E131="",F131=""),"",ROUND((MOD(F131-E131,1)-N(G131))*24,2))</f>
        <v/>
      </c>
      <c r="K131" s="12">
        <f>IF(OR(A131="",B131=""),"",SUMIFS(Paradas!$F$5:$F$1004,Paradas!$A$5:$A$1004,A131,Paradas!$B$5:$B$1004,B131))</f>
        <v/>
      </c>
      <c r="L131" s="12">
        <f>IF(J131="","",J131-N(K131))</f>
        <v/>
      </c>
      <c r="M131" s="13">
        <f>IF(OR(A131="",B131=""),"",COUNTIFS(Paradas!$A$5:$A$1004,A131,Paradas!$B$5:$B$1004,B131))</f>
        <v/>
      </c>
      <c r="N131" s="12">
        <f>IF(OR(H131="",I131=""),"",I131-H131)</f>
        <v/>
      </c>
      <c r="O131" s="7" t="n"/>
    </row>
    <row r="132">
      <c r="A132" s="14" t="n"/>
      <c r="B132" s="7" t="n"/>
      <c r="C132" s="7" t="n"/>
      <c r="D132" s="7" t="n"/>
      <c r="E132" s="15" t="n"/>
      <c r="F132" s="15" t="n"/>
      <c r="G132" s="15" t="n"/>
      <c r="H132" s="16" t="n"/>
      <c r="I132" s="16" t="n"/>
      <c r="J132" s="12">
        <f>IF(OR(E132="",F132=""),"",ROUND((MOD(F132-E132,1)-N(G132))*24,2))</f>
        <v/>
      </c>
      <c r="K132" s="12">
        <f>IF(OR(A132="",B132=""),"",SUMIFS(Paradas!$F$5:$F$1004,Paradas!$A$5:$A$1004,A132,Paradas!$B$5:$B$1004,B132))</f>
        <v/>
      </c>
      <c r="L132" s="12">
        <f>IF(J132="","",J132-N(K132))</f>
        <v/>
      </c>
      <c r="M132" s="13">
        <f>IF(OR(A132="",B132=""),"",COUNTIFS(Paradas!$A$5:$A$1004,A132,Paradas!$B$5:$B$1004,B132))</f>
        <v/>
      </c>
      <c r="N132" s="12">
        <f>IF(OR(H132="",I132=""),"",I132-H132)</f>
        <v/>
      </c>
      <c r="O132" s="7" t="n"/>
    </row>
    <row r="133">
      <c r="A133" s="14" t="n"/>
      <c r="B133" s="7" t="n"/>
      <c r="C133" s="7" t="n"/>
      <c r="D133" s="7" t="n"/>
      <c r="E133" s="15" t="n"/>
      <c r="F133" s="15" t="n"/>
      <c r="G133" s="15" t="n"/>
      <c r="H133" s="16" t="n"/>
      <c r="I133" s="16" t="n"/>
      <c r="J133" s="12">
        <f>IF(OR(E133="",F133=""),"",ROUND((MOD(F133-E133,1)-N(G133))*24,2))</f>
        <v/>
      </c>
      <c r="K133" s="12">
        <f>IF(OR(A133="",B133=""),"",SUMIFS(Paradas!$F$5:$F$1004,Paradas!$A$5:$A$1004,A133,Paradas!$B$5:$B$1004,B133))</f>
        <v/>
      </c>
      <c r="L133" s="12">
        <f>IF(J133="","",J133-N(K133))</f>
        <v/>
      </c>
      <c r="M133" s="13">
        <f>IF(OR(A133="",B133=""),"",COUNTIFS(Paradas!$A$5:$A$1004,A133,Paradas!$B$5:$B$1004,B133))</f>
        <v/>
      </c>
      <c r="N133" s="12">
        <f>IF(OR(H133="",I133=""),"",I133-H133)</f>
        <v/>
      </c>
      <c r="O133" s="7" t="n"/>
    </row>
    <row r="134">
      <c r="A134" s="14" t="n"/>
      <c r="B134" s="7" t="n"/>
      <c r="C134" s="7" t="n"/>
      <c r="D134" s="7" t="n"/>
      <c r="E134" s="15" t="n"/>
      <c r="F134" s="15" t="n"/>
      <c r="G134" s="15" t="n"/>
      <c r="H134" s="16" t="n"/>
      <c r="I134" s="16" t="n"/>
      <c r="J134" s="12">
        <f>IF(OR(E134="",F134=""),"",ROUND((MOD(F134-E134,1)-N(G134))*24,2))</f>
        <v/>
      </c>
      <c r="K134" s="12">
        <f>IF(OR(A134="",B134=""),"",SUMIFS(Paradas!$F$5:$F$1004,Paradas!$A$5:$A$1004,A134,Paradas!$B$5:$B$1004,B134))</f>
        <v/>
      </c>
      <c r="L134" s="12">
        <f>IF(J134="","",J134-N(K134))</f>
        <v/>
      </c>
      <c r="M134" s="13">
        <f>IF(OR(A134="",B134=""),"",COUNTIFS(Paradas!$A$5:$A$1004,A134,Paradas!$B$5:$B$1004,B134))</f>
        <v/>
      </c>
      <c r="N134" s="12">
        <f>IF(OR(H134="",I134=""),"",I134-H134)</f>
        <v/>
      </c>
      <c r="O134" s="7" t="n"/>
    </row>
    <row r="135">
      <c r="A135" s="14" t="n"/>
      <c r="B135" s="7" t="n"/>
      <c r="C135" s="7" t="n"/>
      <c r="D135" s="7" t="n"/>
      <c r="E135" s="15" t="n"/>
      <c r="F135" s="15" t="n"/>
      <c r="G135" s="15" t="n"/>
      <c r="H135" s="16" t="n"/>
      <c r="I135" s="16" t="n"/>
      <c r="J135" s="12">
        <f>IF(OR(E135="",F135=""),"",ROUND((MOD(F135-E135,1)-N(G135))*24,2))</f>
        <v/>
      </c>
      <c r="K135" s="12">
        <f>IF(OR(A135="",B135=""),"",SUMIFS(Paradas!$F$5:$F$1004,Paradas!$A$5:$A$1004,A135,Paradas!$B$5:$B$1004,B135))</f>
        <v/>
      </c>
      <c r="L135" s="12">
        <f>IF(J135="","",J135-N(K135))</f>
        <v/>
      </c>
      <c r="M135" s="13">
        <f>IF(OR(A135="",B135=""),"",COUNTIFS(Paradas!$A$5:$A$1004,A135,Paradas!$B$5:$B$1004,B135))</f>
        <v/>
      </c>
      <c r="N135" s="12">
        <f>IF(OR(H135="",I135=""),"",I135-H135)</f>
        <v/>
      </c>
      <c r="O135" s="7" t="n"/>
    </row>
    <row r="136">
      <c r="A136" s="14" t="n"/>
      <c r="B136" s="7" t="n"/>
      <c r="C136" s="7" t="n"/>
      <c r="D136" s="7" t="n"/>
      <c r="E136" s="15" t="n"/>
      <c r="F136" s="15" t="n"/>
      <c r="G136" s="15" t="n"/>
      <c r="H136" s="16" t="n"/>
      <c r="I136" s="16" t="n"/>
      <c r="J136" s="12">
        <f>IF(OR(E136="",F136=""),"",ROUND((MOD(F136-E136,1)-N(G136))*24,2))</f>
        <v/>
      </c>
      <c r="K136" s="12">
        <f>IF(OR(A136="",B136=""),"",SUMIFS(Paradas!$F$5:$F$1004,Paradas!$A$5:$A$1004,A136,Paradas!$B$5:$B$1004,B136))</f>
        <v/>
      </c>
      <c r="L136" s="12">
        <f>IF(J136="","",J136-N(K136))</f>
        <v/>
      </c>
      <c r="M136" s="13">
        <f>IF(OR(A136="",B136=""),"",COUNTIFS(Paradas!$A$5:$A$1004,A136,Paradas!$B$5:$B$1004,B136))</f>
        <v/>
      </c>
      <c r="N136" s="12">
        <f>IF(OR(H136="",I136=""),"",I136-H136)</f>
        <v/>
      </c>
      <c r="O136" s="7" t="n"/>
    </row>
    <row r="137">
      <c r="A137" s="14" t="n"/>
      <c r="B137" s="7" t="n"/>
      <c r="C137" s="7" t="n"/>
      <c r="D137" s="7" t="n"/>
      <c r="E137" s="15" t="n"/>
      <c r="F137" s="15" t="n"/>
      <c r="G137" s="15" t="n"/>
      <c r="H137" s="16" t="n"/>
      <c r="I137" s="16" t="n"/>
      <c r="J137" s="12">
        <f>IF(OR(E137="",F137=""),"",ROUND((MOD(F137-E137,1)-N(G137))*24,2))</f>
        <v/>
      </c>
      <c r="K137" s="12">
        <f>IF(OR(A137="",B137=""),"",SUMIFS(Paradas!$F$5:$F$1004,Paradas!$A$5:$A$1004,A137,Paradas!$B$5:$B$1004,B137))</f>
        <v/>
      </c>
      <c r="L137" s="12">
        <f>IF(J137="","",J137-N(K137))</f>
        <v/>
      </c>
      <c r="M137" s="13">
        <f>IF(OR(A137="",B137=""),"",COUNTIFS(Paradas!$A$5:$A$1004,A137,Paradas!$B$5:$B$1004,B137))</f>
        <v/>
      </c>
      <c r="N137" s="12">
        <f>IF(OR(H137="",I137=""),"",I137-H137)</f>
        <v/>
      </c>
      <c r="O137" s="7" t="n"/>
    </row>
    <row r="138">
      <c r="A138" s="14" t="n"/>
      <c r="B138" s="7" t="n"/>
      <c r="C138" s="7" t="n"/>
      <c r="D138" s="7" t="n"/>
      <c r="E138" s="15" t="n"/>
      <c r="F138" s="15" t="n"/>
      <c r="G138" s="15" t="n"/>
      <c r="H138" s="16" t="n"/>
      <c r="I138" s="16" t="n"/>
      <c r="J138" s="12">
        <f>IF(OR(E138="",F138=""),"",ROUND((MOD(F138-E138,1)-N(G138))*24,2))</f>
        <v/>
      </c>
      <c r="K138" s="12">
        <f>IF(OR(A138="",B138=""),"",SUMIFS(Paradas!$F$5:$F$1004,Paradas!$A$5:$A$1004,A138,Paradas!$B$5:$B$1004,B138))</f>
        <v/>
      </c>
      <c r="L138" s="12">
        <f>IF(J138="","",J138-N(K138))</f>
        <v/>
      </c>
      <c r="M138" s="13">
        <f>IF(OR(A138="",B138=""),"",COUNTIFS(Paradas!$A$5:$A$1004,A138,Paradas!$B$5:$B$1004,B138))</f>
        <v/>
      </c>
      <c r="N138" s="12">
        <f>IF(OR(H138="",I138=""),"",I138-H138)</f>
        <v/>
      </c>
      <c r="O138" s="7" t="n"/>
    </row>
    <row r="139">
      <c r="A139" s="14" t="n"/>
      <c r="B139" s="7" t="n"/>
      <c r="C139" s="7" t="n"/>
      <c r="D139" s="7" t="n"/>
      <c r="E139" s="15" t="n"/>
      <c r="F139" s="15" t="n"/>
      <c r="G139" s="15" t="n"/>
      <c r="H139" s="16" t="n"/>
      <c r="I139" s="16" t="n"/>
      <c r="J139" s="12">
        <f>IF(OR(E139="",F139=""),"",ROUND((MOD(F139-E139,1)-N(G139))*24,2))</f>
        <v/>
      </c>
      <c r="K139" s="12">
        <f>IF(OR(A139="",B139=""),"",SUMIFS(Paradas!$F$5:$F$1004,Paradas!$A$5:$A$1004,A139,Paradas!$B$5:$B$1004,B139))</f>
        <v/>
      </c>
      <c r="L139" s="12">
        <f>IF(J139="","",J139-N(K139))</f>
        <v/>
      </c>
      <c r="M139" s="13">
        <f>IF(OR(A139="",B139=""),"",COUNTIFS(Paradas!$A$5:$A$1004,A139,Paradas!$B$5:$B$1004,B139))</f>
        <v/>
      </c>
      <c r="N139" s="12">
        <f>IF(OR(H139="",I139=""),"",I139-H139)</f>
        <v/>
      </c>
      <c r="O139" s="7" t="n"/>
    </row>
    <row r="140">
      <c r="A140" s="14" t="n"/>
      <c r="B140" s="7" t="n"/>
      <c r="C140" s="7" t="n"/>
      <c r="D140" s="7" t="n"/>
      <c r="E140" s="15" t="n"/>
      <c r="F140" s="15" t="n"/>
      <c r="G140" s="15" t="n"/>
      <c r="H140" s="16" t="n"/>
      <c r="I140" s="16" t="n"/>
      <c r="J140" s="12">
        <f>IF(OR(E140="",F140=""),"",ROUND((MOD(F140-E140,1)-N(G140))*24,2))</f>
        <v/>
      </c>
      <c r="K140" s="12">
        <f>IF(OR(A140="",B140=""),"",SUMIFS(Paradas!$F$5:$F$1004,Paradas!$A$5:$A$1004,A140,Paradas!$B$5:$B$1004,B140))</f>
        <v/>
      </c>
      <c r="L140" s="12">
        <f>IF(J140="","",J140-N(K140))</f>
        <v/>
      </c>
      <c r="M140" s="13">
        <f>IF(OR(A140="",B140=""),"",COUNTIFS(Paradas!$A$5:$A$1004,A140,Paradas!$B$5:$B$1004,B140))</f>
        <v/>
      </c>
      <c r="N140" s="12">
        <f>IF(OR(H140="",I140=""),"",I140-H140)</f>
        <v/>
      </c>
      <c r="O140" s="7" t="n"/>
    </row>
    <row r="141">
      <c r="A141" s="14" t="n"/>
      <c r="B141" s="7" t="n"/>
      <c r="C141" s="7" t="n"/>
      <c r="D141" s="7" t="n"/>
      <c r="E141" s="15" t="n"/>
      <c r="F141" s="15" t="n"/>
      <c r="G141" s="15" t="n"/>
      <c r="H141" s="16" t="n"/>
      <c r="I141" s="16" t="n"/>
      <c r="J141" s="12">
        <f>IF(OR(E141="",F141=""),"",ROUND((MOD(F141-E141,1)-N(G141))*24,2))</f>
        <v/>
      </c>
      <c r="K141" s="12">
        <f>IF(OR(A141="",B141=""),"",SUMIFS(Paradas!$F$5:$F$1004,Paradas!$A$5:$A$1004,A141,Paradas!$B$5:$B$1004,B141))</f>
        <v/>
      </c>
      <c r="L141" s="12">
        <f>IF(J141="","",J141-N(K141))</f>
        <v/>
      </c>
      <c r="M141" s="13">
        <f>IF(OR(A141="",B141=""),"",COUNTIFS(Paradas!$A$5:$A$1004,A141,Paradas!$B$5:$B$1004,B141))</f>
        <v/>
      </c>
      <c r="N141" s="12">
        <f>IF(OR(H141="",I141=""),"",I141-H141)</f>
        <v/>
      </c>
      <c r="O141" s="7" t="n"/>
    </row>
    <row r="142">
      <c r="A142" s="14" t="n"/>
      <c r="B142" s="7" t="n"/>
      <c r="C142" s="7" t="n"/>
      <c r="D142" s="7" t="n"/>
      <c r="E142" s="15" t="n"/>
      <c r="F142" s="15" t="n"/>
      <c r="G142" s="15" t="n"/>
      <c r="H142" s="16" t="n"/>
      <c r="I142" s="16" t="n"/>
      <c r="J142" s="12">
        <f>IF(OR(E142="",F142=""),"",ROUND((MOD(F142-E142,1)-N(G142))*24,2))</f>
        <v/>
      </c>
      <c r="K142" s="12">
        <f>IF(OR(A142="",B142=""),"",SUMIFS(Paradas!$F$5:$F$1004,Paradas!$A$5:$A$1004,A142,Paradas!$B$5:$B$1004,B142))</f>
        <v/>
      </c>
      <c r="L142" s="12">
        <f>IF(J142="","",J142-N(K142))</f>
        <v/>
      </c>
      <c r="M142" s="13">
        <f>IF(OR(A142="",B142=""),"",COUNTIFS(Paradas!$A$5:$A$1004,A142,Paradas!$B$5:$B$1004,B142))</f>
        <v/>
      </c>
      <c r="N142" s="12">
        <f>IF(OR(H142="",I142=""),"",I142-H142)</f>
        <v/>
      </c>
      <c r="O142" s="7" t="n"/>
    </row>
    <row r="143">
      <c r="A143" s="14" t="n"/>
      <c r="B143" s="7" t="n"/>
      <c r="C143" s="7" t="n"/>
      <c r="D143" s="7" t="n"/>
      <c r="E143" s="15" t="n"/>
      <c r="F143" s="15" t="n"/>
      <c r="G143" s="15" t="n"/>
      <c r="H143" s="16" t="n"/>
      <c r="I143" s="16" t="n"/>
      <c r="J143" s="12">
        <f>IF(OR(E143="",F143=""),"",ROUND((MOD(F143-E143,1)-N(G143))*24,2))</f>
        <v/>
      </c>
      <c r="K143" s="12">
        <f>IF(OR(A143="",B143=""),"",SUMIFS(Paradas!$F$5:$F$1004,Paradas!$A$5:$A$1004,A143,Paradas!$B$5:$B$1004,B143))</f>
        <v/>
      </c>
      <c r="L143" s="12">
        <f>IF(J143="","",J143-N(K143))</f>
        <v/>
      </c>
      <c r="M143" s="13">
        <f>IF(OR(A143="",B143=""),"",COUNTIFS(Paradas!$A$5:$A$1004,A143,Paradas!$B$5:$B$1004,B143))</f>
        <v/>
      </c>
      <c r="N143" s="12">
        <f>IF(OR(H143="",I143=""),"",I143-H143)</f>
        <v/>
      </c>
      <c r="O143" s="7" t="n"/>
    </row>
    <row r="144">
      <c r="A144" s="14" t="n"/>
      <c r="B144" s="7" t="n"/>
      <c r="C144" s="7" t="n"/>
      <c r="D144" s="7" t="n"/>
      <c r="E144" s="15" t="n"/>
      <c r="F144" s="15" t="n"/>
      <c r="G144" s="15" t="n"/>
      <c r="H144" s="16" t="n"/>
      <c r="I144" s="16" t="n"/>
      <c r="J144" s="12">
        <f>IF(OR(E144="",F144=""),"",ROUND((MOD(F144-E144,1)-N(G144))*24,2))</f>
        <v/>
      </c>
      <c r="K144" s="12">
        <f>IF(OR(A144="",B144=""),"",SUMIFS(Paradas!$F$5:$F$1004,Paradas!$A$5:$A$1004,A144,Paradas!$B$5:$B$1004,B144))</f>
        <v/>
      </c>
      <c r="L144" s="12">
        <f>IF(J144="","",J144-N(K144))</f>
        <v/>
      </c>
      <c r="M144" s="13">
        <f>IF(OR(A144="",B144=""),"",COUNTIFS(Paradas!$A$5:$A$1004,A144,Paradas!$B$5:$B$1004,B144))</f>
        <v/>
      </c>
      <c r="N144" s="12">
        <f>IF(OR(H144="",I144=""),"",I144-H144)</f>
        <v/>
      </c>
      <c r="O144" s="7" t="n"/>
    </row>
    <row r="145">
      <c r="A145" s="14" t="n"/>
      <c r="B145" s="7" t="n"/>
      <c r="C145" s="7" t="n"/>
      <c r="D145" s="7" t="n"/>
      <c r="E145" s="15" t="n"/>
      <c r="F145" s="15" t="n"/>
      <c r="G145" s="15" t="n"/>
      <c r="H145" s="16" t="n"/>
      <c r="I145" s="16" t="n"/>
      <c r="J145" s="12">
        <f>IF(OR(E145="",F145=""),"",ROUND((MOD(F145-E145,1)-N(G145))*24,2))</f>
        <v/>
      </c>
      <c r="K145" s="12">
        <f>IF(OR(A145="",B145=""),"",SUMIFS(Paradas!$F$5:$F$1004,Paradas!$A$5:$A$1004,A145,Paradas!$B$5:$B$1004,B145))</f>
        <v/>
      </c>
      <c r="L145" s="12">
        <f>IF(J145="","",J145-N(K145))</f>
        <v/>
      </c>
      <c r="M145" s="13">
        <f>IF(OR(A145="",B145=""),"",COUNTIFS(Paradas!$A$5:$A$1004,A145,Paradas!$B$5:$B$1004,B145))</f>
        <v/>
      </c>
      <c r="N145" s="12">
        <f>IF(OR(H145="",I145=""),"",I145-H145)</f>
        <v/>
      </c>
      <c r="O145" s="7" t="n"/>
    </row>
    <row r="146">
      <c r="A146" s="14" t="n"/>
      <c r="B146" s="7" t="n"/>
      <c r="C146" s="7" t="n"/>
      <c r="D146" s="7" t="n"/>
      <c r="E146" s="15" t="n"/>
      <c r="F146" s="15" t="n"/>
      <c r="G146" s="15" t="n"/>
      <c r="H146" s="16" t="n"/>
      <c r="I146" s="16" t="n"/>
      <c r="J146" s="12">
        <f>IF(OR(E146="",F146=""),"",ROUND((MOD(F146-E146,1)-N(G146))*24,2))</f>
        <v/>
      </c>
      <c r="K146" s="12">
        <f>IF(OR(A146="",B146=""),"",SUMIFS(Paradas!$F$5:$F$1004,Paradas!$A$5:$A$1004,A146,Paradas!$B$5:$B$1004,B146))</f>
        <v/>
      </c>
      <c r="L146" s="12">
        <f>IF(J146="","",J146-N(K146))</f>
        <v/>
      </c>
      <c r="M146" s="13">
        <f>IF(OR(A146="",B146=""),"",COUNTIFS(Paradas!$A$5:$A$1004,A146,Paradas!$B$5:$B$1004,B146))</f>
        <v/>
      </c>
      <c r="N146" s="12">
        <f>IF(OR(H146="",I146=""),"",I146-H146)</f>
        <v/>
      </c>
      <c r="O146" s="7" t="n"/>
    </row>
    <row r="147">
      <c r="A147" s="14" t="n"/>
      <c r="B147" s="7" t="n"/>
      <c r="C147" s="7" t="n"/>
      <c r="D147" s="7" t="n"/>
      <c r="E147" s="15" t="n"/>
      <c r="F147" s="15" t="n"/>
      <c r="G147" s="15" t="n"/>
      <c r="H147" s="16" t="n"/>
      <c r="I147" s="16" t="n"/>
      <c r="J147" s="12">
        <f>IF(OR(E147="",F147=""),"",ROUND((MOD(F147-E147,1)-N(G147))*24,2))</f>
        <v/>
      </c>
      <c r="K147" s="12">
        <f>IF(OR(A147="",B147=""),"",SUMIFS(Paradas!$F$5:$F$1004,Paradas!$A$5:$A$1004,A147,Paradas!$B$5:$B$1004,B147))</f>
        <v/>
      </c>
      <c r="L147" s="12">
        <f>IF(J147="","",J147-N(K147))</f>
        <v/>
      </c>
      <c r="M147" s="13">
        <f>IF(OR(A147="",B147=""),"",COUNTIFS(Paradas!$A$5:$A$1004,A147,Paradas!$B$5:$B$1004,B147))</f>
        <v/>
      </c>
      <c r="N147" s="12">
        <f>IF(OR(H147="",I147=""),"",I147-H147)</f>
        <v/>
      </c>
      <c r="O147" s="7" t="n"/>
    </row>
    <row r="148">
      <c r="A148" s="14" t="n"/>
      <c r="B148" s="7" t="n"/>
      <c r="C148" s="7" t="n"/>
      <c r="D148" s="7" t="n"/>
      <c r="E148" s="15" t="n"/>
      <c r="F148" s="15" t="n"/>
      <c r="G148" s="15" t="n"/>
      <c r="H148" s="16" t="n"/>
      <c r="I148" s="16" t="n"/>
      <c r="J148" s="12">
        <f>IF(OR(E148="",F148=""),"",ROUND((MOD(F148-E148,1)-N(G148))*24,2))</f>
        <v/>
      </c>
      <c r="K148" s="12">
        <f>IF(OR(A148="",B148=""),"",SUMIFS(Paradas!$F$5:$F$1004,Paradas!$A$5:$A$1004,A148,Paradas!$B$5:$B$1004,B148))</f>
        <v/>
      </c>
      <c r="L148" s="12">
        <f>IF(J148="","",J148-N(K148))</f>
        <v/>
      </c>
      <c r="M148" s="13">
        <f>IF(OR(A148="",B148=""),"",COUNTIFS(Paradas!$A$5:$A$1004,A148,Paradas!$B$5:$B$1004,B148))</f>
        <v/>
      </c>
      <c r="N148" s="12">
        <f>IF(OR(H148="",I148=""),"",I148-H148)</f>
        <v/>
      </c>
      <c r="O148" s="7" t="n"/>
    </row>
    <row r="149">
      <c r="A149" s="14" t="n"/>
      <c r="B149" s="7" t="n"/>
      <c r="C149" s="7" t="n"/>
      <c r="D149" s="7" t="n"/>
      <c r="E149" s="15" t="n"/>
      <c r="F149" s="15" t="n"/>
      <c r="G149" s="15" t="n"/>
      <c r="H149" s="16" t="n"/>
      <c r="I149" s="16" t="n"/>
      <c r="J149" s="12">
        <f>IF(OR(E149="",F149=""),"",ROUND((MOD(F149-E149,1)-N(G149))*24,2))</f>
        <v/>
      </c>
      <c r="K149" s="12">
        <f>IF(OR(A149="",B149=""),"",SUMIFS(Paradas!$F$5:$F$1004,Paradas!$A$5:$A$1004,A149,Paradas!$B$5:$B$1004,B149))</f>
        <v/>
      </c>
      <c r="L149" s="12">
        <f>IF(J149="","",J149-N(K149))</f>
        <v/>
      </c>
      <c r="M149" s="13">
        <f>IF(OR(A149="",B149=""),"",COUNTIFS(Paradas!$A$5:$A$1004,A149,Paradas!$B$5:$B$1004,B149))</f>
        <v/>
      </c>
      <c r="N149" s="12">
        <f>IF(OR(H149="",I149=""),"",I149-H149)</f>
        <v/>
      </c>
      <c r="O149" s="7" t="n"/>
    </row>
    <row r="150">
      <c r="A150" s="14" t="n"/>
      <c r="B150" s="7" t="n"/>
      <c r="C150" s="7" t="n"/>
      <c r="D150" s="7" t="n"/>
      <c r="E150" s="15" t="n"/>
      <c r="F150" s="15" t="n"/>
      <c r="G150" s="15" t="n"/>
      <c r="H150" s="16" t="n"/>
      <c r="I150" s="16" t="n"/>
      <c r="J150" s="12">
        <f>IF(OR(E150="",F150=""),"",ROUND((MOD(F150-E150,1)-N(G150))*24,2))</f>
        <v/>
      </c>
      <c r="K150" s="12">
        <f>IF(OR(A150="",B150=""),"",SUMIFS(Paradas!$F$5:$F$1004,Paradas!$A$5:$A$1004,A150,Paradas!$B$5:$B$1004,B150))</f>
        <v/>
      </c>
      <c r="L150" s="12">
        <f>IF(J150="","",J150-N(K150))</f>
        <v/>
      </c>
      <c r="M150" s="13">
        <f>IF(OR(A150="",B150=""),"",COUNTIFS(Paradas!$A$5:$A$1004,A150,Paradas!$B$5:$B$1004,B150))</f>
        <v/>
      </c>
      <c r="N150" s="12">
        <f>IF(OR(H150="",I150=""),"",I150-H150)</f>
        <v/>
      </c>
      <c r="O150" s="7" t="n"/>
    </row>
    <row r="151">
      <c r="A151" s="14" t="n"/>
      <c r="B151" s="7" t="n"/>
      <c r="C151" s="7" t="n"/>
      <c r="D151" s="7" t="n"/>
      <c r="E151" s="15" t="n"/>
      <c r="F151" s="15" t="n"/>
      <c r="G151" s="15" t="n"/>
      <c r="H151" s="16" t="n"/>
      <c r="I151" s="16" t="n"/>
      <c r="J151" s="12">
        <f>IF(OR(E151="",F151=""),"",ROUND((MOD(F151-E151,1)-N(G151))*24,2))</f>
        <v/>
      </c>
      <c r="K151" s="12">
        <f>IF(OR(A151="",B151=""),"",SUMIFS(Paradas!$F$5:$F$1004,Paradas!$A$5:$A$1004,A151,Paradas!$B$5:$B$1004,B151))</f>
        <v/>
      </c>
      <c r="L151" s="12">
        <f>IF(J151="","",J151-N(K151))</f>
        <v/>
      </c>
      <c r="M151" s="13">
        <f>IF(OR(A151="",B151=""),"",COUNTIFS(Paradas!$A$5:$A$1004,A151,Paradas!$B$5:$B$1004,B151))</f>
        <v/>
      </c>
      <c r="N151" s="12">
        <f>IF(OR(H151="",I151=""),"",I151-H151)</f>
        <v/>
      </c>
      <c r="O151" s="7" t="n"/>
    </row>
    <row r="152">
      <c r="A152" s="14" t="n"/>
      <c r="B152" s="7" t="n"/>
      <c r="C152" s="7" t="n"/>
      <c r="D152" s="7" t="n"/>
      <c r="E152" s="15" t="n"/>
      <c r="F152" s="15" t="n"/>
      <c r="G152" s="15" t="n"/>
      <c r="H152" s="16" t="n"/>
      <c r="I152" s="16" t="n"/>
      <c r="J152" s="12">
        <f>IF(OR(E152="",F152=""),"",ROUND((MOD(F152-E152,1)-N(G152))*24,2))</f>
        <v/>
      </c>
      <c r="K152" s="12">
        <f>IF(OR(A152="",B152=""),"",SUMIFS(Paradas!$F$5:$F$1004,Paradas!$A$5:$A$1004,A152,Paradas!$B$5:$B$1004,B152))</f>
        <v/>
      </c>
      <c r="L152" s="12">
        <f>IF(J152="","",J152-N(K152))</f>
        <v/>
      </c>
      <c r="M152" s="13">
        <f>IF(OR(A152="",B152=""),"",COUNTIFS(Paradas!$A$5:$A$1004,A152,Paradas!$B$5:$B$1004,B152))</f>
        <v/>
      </c>
      <c r="N152" s="12">
        <f>IF(OR(H152="",I152=""),"",I152-H152)</f>
        <v/>
      </c>
      <c r="O152" s="7" t="n"/>
    </row>
    <row r="153">
      <c r="A153" s="14" t="n"/>
      <c r="B153" s="7" t="n"/>
      <c r="C153" s="7" t="n"/>
      <c r="D153" s="7" t="n"/>
      <c r="E153" s="15" t="n"/>
      <c r="F153" s="15" t="n"/>
      <c r="G153" s="15" t="n"/>
      <c r="H153" s="16" t="n"/>
      <c r="I153" s="16" t="n"/>
      <c r="J153" s="12">
        <f>IF(OR(E153="",F153=""),"",ROUND((MOD(F153-E153,1)-N(G153))*24,2))</f>
        <v/>
      </c>
      <c r="K153" s="12">
        <f>IF(OR(A153="",B153=""),"",SUMIFS(Paradas!$F$5:$F$1004,Paradas!$A$5:$A$1004,A153,Paradas!$B$5:$B$1004,B153))</f>
        <v/>
      </c>
      <c r="L153" s="12">
        <f>IF(J153="","",J153-N(K153))</f>
        <v/>
      </c>
      <c r="M153" s="13">
        <f>IF(OR(A153="",B153=""),"",COUNTIFS(Paradas!$A$5:$A$1004,A153,Paradas!$B$5:$B$1004,B153))</f>
        <v/>
      </c>
      <c r="N153" s="12">
        <f>IF(OR(H153="",I153=""),"",I153-H153)</f>
        <v/>
      </c>
      <c r="O153" s="7" t="n"/>
    </row>
    <row r="154">
      <c r="A154" s="14" t="n"/>
      <c r="B154" s="7" t="n"/>
      <c r="C154" s="7" t="n"/>
      <c r="D154" s="7" t="n"/>
      <c r="E154" s="15" t="n"/>
      <c r="F154" s="15" t="n"/>
      <c r="G154" s="15" t="n"/>
      <c r="H154" s="16" t="n"/>
      <c r="I154" s="16" t="n"/>
      <c r="J154" s="12">
        <f>IF(OR(E154="",F154=""),"",ROUND((MOD(F154-E154,1)-N(G154))*24,2))</f>
        <v/>
      </c>
      <c r="K154" s="12">
        <f>IF(OR(A154="",B154=""),"",SUMIFS(Paradas!$F$5:$F$1004,Paradas!$A$5:$A$1004,A154,Paradas!$B$5:$B$1004,B154))</f>
        <v/>
      </c>
      <c r="L154" s="12">
        <f>IF(J154="","",J154-N(K154))</f>
        <v/>
      </c>
      <c r="M154" s="13">
        <f>IF(OR(A154="",B154=""),"",COUNTIFS(Paradas!$A$5:$A$1004,A154,Paradas!$B$5:$B$1004,B154))</f>
        <v/>
      </c>
      <c r="N154" s="12">
        <f>IF(OR(H154="",I154=""),"",I154-H154)</f>
        <v/>
      </c>
      <c r="O154" s="7" t="n"/>
    </row>
    <row r="155">
      <c r="A155" s="14" t="n"/>
      <c r="B155" s="7" t="n"/>
      <c r="C155" s="7" t="n"/>
      <c r="D155" s="7" t="n"/>
      <c r="E155" s="15" t="n"/>
      <c r="F155" s="15" t="n"/>
      <c r="G155" s="15" t="n"/>
      <c r="H155" s="16" t="n"/>
      <c r="I155" s="16" t="n"/>
      <c r="J155" s="12">
        <f>IF(OR(E155="",F155=""),"",ROUND((MOD(F155-E155,1)-N(G155))*24,2))</f>
        <v/>
      </c>
      <c r="K155" s="12">
        <f>IF(OR(A155="",B155=""),"",SUMIFS(Paradas!$F$5:$F$1004,Paradas!$A$5:$A$1004,A155,Paradas!$B$5:$B$1004,B155))</f>
        <v/>
      </c>
      <c r="L155" s="12">
        <f>IF(J155="","",J155-N(K155))</f>
        <v/>
      </c>
      <c r="M155" s="13">
        <f>IF(OR(A155="",B155=""),"",COUNTIFS(Paradas!$A$5:$A$1004,A155,Paradas!$B$5:$B$1004,B155))</f>
        <v/>
      </c>
      <c r="N155" s="12">
        <f>IF(OR(H155="",I155=""),"",I155-H155)</f>
        <v/>
      </c>
      <c r="O155" s="7" t="n"/>
    </row>
    <row r="156">
      <c r="A156" s="14" t="n"/>
      <c r="B156" s="7" t="n"/>
      <c r="C156" s="7" t="n"/>
      <c r="D156" s="7" t="n"/>
      <c r="E156" s="15" t="n"/>
      <c r="F156" s="15" t="n"/>
      <c r="G156" s="15" t="n"/>
      <c r="H156" s="16" t="n"/>
      <c r="I156" s="16" t="n"/>
      <c r="J156" s="12">
        <f>IF(OR(E156="",F156=""),"",ROUND((MOD(F156-E156,1)-N(G156))*24,2))</f>
        <v/>
      </c>
      <c r="K156" s="12">
        <f>IF(OR(A156="",B156=""),"",SUMIFS(Paradas!$F$5:$F$1004,Paradas!$A$5:$A$1004,A156,Paradas!$B$5:$B$1004,B156))</f>
        <v/>
      </c>
      <c r="L156" s="12">
        <f>IF(J156="","",J156-N(K156))</f>
        <v/>
      </c>
      <c r="M156" s="13">
        <f>IF(OR(A156="",B156=""),"",COUNTIFS(Paradas!$A$5:$A$1004,A156,Paradas!$B$5:$B$1004,B156))</f>
        <v/>
      </c>
      <c r="N156" s="12">
        <f>IF(OR(H156="",I156=""),"",I156-H156)</f>
        <v/>
      </c>
      <c r="O156" s="7" t="n"/>
    </row>
    <row r="157">
      <c r="A157" s="14" t="n"/>
      <c r="B157" s="7" t="n"/>
      <c r="C157" s="7" t="n"/>
      <c r="D157" s="7" t="n"/>
      <c r="E157" s="15" t="n"/>
      <c r="F157" s="15" t="n"/>
      <c r="G157" s="15" t="n"/>
      <c r="H157" s="16" t="n"/>
      <c r="I157" s="16" t="n"/>
      <c r="J157" s="12">
        <f>IF(OR(E157="",F157=""),"",ROUND((MOD(F157-E157,1)-N(G157))*24,2))</f>
        <v/>
      </c>
      <c r="K157" s="12">
        <f>IF(OR(A157="",B157=""),"",SUMIFS(Paradas!$F$5:$F$1004,Paradas!$A$5:$A$1004,A157,Paradas!$B$5:$B$1004,B157))</f>
        <v/>
      </c>
      <c r="L157" s="12">
        <f>IF(J157="","",J157-N(K157))</f>
        <v/>
      </c>
      <c r="M157" s="13">
        <f>IF(OR(A157="",B157=""),"",COUNTIFS(Paradas!$A$5:$A$1004,A157,Paradas!$B$5:$B$1004,B157))</f>
        <v/>
      </c>
      <c r="N157" s="12">
        <f>IF(OR(H157="",I157=""),"",I157-H157)</f>
        <v/>
      </c>
      <c r="O157" s="7" t="n"/>
    </row>
    <row r="158">
      <c r="A158" s="14" t="n"/>
      <c r="B158" s="7" t="n"/>
      <c r="C158" s="7" t="n"/>
      <c r="D158" s="7" t="n"/>
      <c r="E158" s="15" t="n"/>
      <c r="F158" s="15" t="n"/>
      <c r="G158" s="15" t="n"/>
      <c r="H158" s="16" t="n"/>
      <c r="I158" s="16" t="n"/>
      <c r="J158" s="12">
        <f>IF(OR(E158="",F158=""),"",ROUND((MOD(F158-E158,1)-N(G158))*24,2))</f>
        <v/>
      </c>
      <c r="K158" s="12">
        <f>IF(OR(A158="",B158=""),"",SUMIFS(Paradas!$F$5:$F$1004,Paradas!$A$5:$A$1004,A158,Paradas!$B$5:$B$1004,B158))</f>
        <v/>
      </c>
      <c r="L158" s="12">
        <f>IF(J158="","",J158-N(K158))</f>
        <v/>
      </c>
      <c r="M158" s="13">
        <f>IF(OR(A158="",B158=""),"",COUNTIFS(Paradas!$A$5:$A$1004,A158,Paradas!$B$5:$B$1004,B158))</f>
        <v/>
      </c>
      <c r="N158" s="12">
        <f>IF(OR(H158="",I158=""),"",I158-H158)</f>
        <v/>
      </c>
      <c r="O158" s="7" t="n"/>
    </row>
    <row r="159">
      <c r="A159" s="14" t="n"/>
      <c r="B159" s="7" t="n"/>
      <c r="C159" s="7" t="n"/>
      <c r="D159" s="7" t="n"/>
      <c r="E159" s="15" t="n"/>
      <c r="F159" s="15" t="n"/>
      <c r="G159" s="15" t="n"/>
      <c r="H159" s="16" t="n"/>
      <c r="I159" s="16" t="n"/>
      <c r="J159" s="12">
        <f>IF(OR(E159="",F159=""),"",ROUND((MOD(F159-E159,1)-N(G159))*24,2))</f>
        <v/>
      </c>
      <c r="K159" s="12">
        <f>IF(OR(A159="",B159=""),"",SUMIFS(Paradas!$F$5:$F$1004,Paradas!$A$5:$A$1004,A159,Paradas!$B$5:$B$1004,B159))</f>
        <v/>
      </c>
      <c r="L159" s="12">
        <f>IF(J159="","",J159-N(K159))</f>
        <v/>
      </c>
      <c r="M159" s="13">
        <f>IF(OR(A159="",B159=""),"",COUNTIFS(Paradas!$A$5:$A$1004,A159,Paradas!$B$5:$B$1004,B159))</f>
        <v/>
      </c>
      <c r="N159" s="12">
        <f>IF(OR(H159="",I159=""),"",I159-H159)</f>
        <v/>
      </c>
      <c r="O159" s="7" t="n"/>
    </row>
    <row r="160">
      <c r="A160" s="14" t="n"/>
      <c r="B160" s="7" t="n"/>
      <c r="C160" s="7" t="n"/>
      <c r="D160" s="7" t="n"/>
      <c r="E160" s="15" t="n"/>
      <c r="F160" s="15" t="n"/>
      <c r="G160" s="15" t="n"/>
      <c r="H160" s="16" t="n"/>
      <c r="I160" s="16" t="n"/>
      <c r="J160" s="12">
        <f>IF(OR(E160="",F160=""),"",ROUND((MOD(F160-E160,1)-N(G160))*24,2))</f>
        <v/>
      </c>
      <c r="K160" s="12">
        <f>IF(OR(A160="",B160=""),"",SUMIFS(Paradas!$F$5:$F$1004,Paradas!$A$5:$A$1004,A160,Paradas!$B$5:$B$1004,B160))</f>
        <v/>
      </c>
      <c r="L160" s="12">
        <f>IF(J160="","",J160-N(K160))</f>
        <v/>
      </c>
      <c r="M160" s="13">
        <f>IF(OR(A160="",B160=""),"",COUNTIFS(Paradas!$A$5:$A$1004,A160,Paradas!$B$5:$B$1004,B160))</f>
        <v/>
      </c>
      <c r="N160" s="12">
        <f>IF(OR(H160="",I160=""),"",I160-H160)</f>
        <v/>
      </c>
      <c r="O160" s="7" t="n"/>
    </row>
    <row r="161">
      <c r="A161" s="14" t="n"/>
      <c r="B161" s="7" t="n"/>
      <c r="C161" s="7" t="n"/>
      <c r="D161" s="7" t="n"/>
      <c r="E161" s="15" t="n"/>
      <c r="F161" s="15" t="n"/>
      <c r="G161" s="15" t="n"/>
      <c r="H161" s="16" t="n"/>
      <c r="I161" s="16" t="n"/>
      <c r="J161" s="12">
        <f>IF(OR(E161="",F161=""),"",ROUND((MOD(F161-E161,1)-N(G161))*24,2))</f>
        <v/>
      </c>
      <c r="K161" s="12">
        <f>IF(OR(A161="",B161=""),"",SUMIFS(Paradas!$F$5:$F$1004,Paradas!$A$5:$A$1004,A161,Paradas!$B$5:$B$1004,B161))</f>
        <v/>
      </c>
      <c r="L161" s="12">
        <f>IF(J161="","",J161-N(K161))</f>
        <v/>
      </c>
      <c r="M161" s="13">
        <f>IF(OR(A161="",B161=""),"",COUNTIFS(Paradas!$A$5:$A$1004,A161,Paradas!$B$5:$B$1004,B161))</f>
        <v/>
      </c>
      <c r="N161" s="12">
        <f>IF(OR(H161="",I161=""),"",I161-H161)</f>
        <v/>
      </c>
      <c r="O161" s="7" t="n"/>
    </row>
    <row r="162">
      <c r="A162" s="14" t="n"/>
      <c r="B162" s="7" t="n"/>
      <c r="C162" s="7" t="n"/>
      <c r="D162" s="7" t="n"/>
      <c r="E162" s="15" t="n"/>
      <c r="F162" s="15" t="n"/>
      <c r="G162" s="15" t="n"/>
      <c r="H162" s="16" t="n"/>
      <c r="I162" s="16" t="n"/>
      <c r="J162" s="12">
        <f>IF(OR(E162="",F162=""),"",ROUND((MOD(F162-E162,1)-N(G162))*24,2))</f>
        <v/>
      </c>
      <c r="K162" s="12">
        <f>IF(OR(A162="",B162=""),"",SUMIFS(Paradas!$F$5:$F$1004,Paradas!$A$5:$A$1004,A162,Paradas!$B$5:$B$1004,B162))</f>
        <v/>
      </c>
      <c r="L162" s="12">
        <f>IF(J162="","",J162-N(K162))</f>
        <v/>
      </c>
      <c r="M162" s="13">
        <f>IF(OR(A162="",B162=""),"",COUNTIFS(Paradas!$A$5:$A$1004,A162,Paradas!$B$5:$B$1004,B162))</f>
        <v/>
      </c>
      <c r="N162" s="12">
        <f>IF(OR(H162="",I162=""),"",I162-H162)</f>
        <v/>
      </c>
      <c r="O162" s="7" t="n"/>
    </row>
    <row r="163">
      <c r="A163" s="14" t="n"/>
      <c r="B163" s="7" t="n"/>
      <c r="C163" s="7" t="n"/>
      <c r="D163" s="7" t="n"/>
      <c r="E163" s="15" t="n"/>
      <c r="F163" s="15" t="n"/>
      <c r="G163" s="15" t="n"/>
      <c r="H163" s="16" t="n"/>
      <c r="I163" s="16" t="n"/>
      <c r="J163" s="12">
        <f>IF(OR(E163="",F163=""),"",ROUND((MOD(F163-E163,1)-N(G163))*24,2))</f>
        <v/>
      </c>
      <c r="K163" s="12">
        <f>IF(OR(A163="",B163=""),"",SUMIFS(Paradas!$F$5:$F$1004,Paradas!$A$5:$A$1004,A163,Paradas!$B$5:$B$1004,B163))</f>
        <v/>
      </c>
      <c r="L163" s="12">
        <f>IF(J163="","",J163-N(K163))</f>
        <v/>
      </c>
      <c r="M163" s="13">
        <f>IF(OR(A163="",B163=""),"",COUNTIFS(Paradas!$A$5:$A$1004,A163,Paradas!$B$5:$B$1004,B163))</f>
        <v/>
      </c>
      <c r="N163" s="12">
        <f>IF(OR(H163="",I163=""),"",I163-H163)</f>
        <v/>
      </c>
      <c r="O163" s="7" t="n"/>
    </row>
    <row r="164">
      <c r="A164" s="14" t="n"/>
      <c r="B164" s="7" t="n"/>
      <c r="C164" s="7" t="n"/>
      <c r="D164" s="7" t="n"/>
      <c r="E164" s="15" t="n"/>
      <c r="F164" s="15" t="n"/>
      <c r="G164" s="15" t="n"/>
      <c r="H164" s="16" t="n"/>
      <c r="I164" s="16" t="n"/>
      <c r="J164" s="12">
        <f>IF(OR(E164="",F164=""),"",ROUND((MOD(F164-E164,1)-N(G164))*24,2))</f>
        <v/>
      </c>
      <c r="K164" s="12">
        <f>IF(OR(A164="",B164=""),"",SUMIFS(Paradas!$F$5:$F$1004,Paradas!$A$5:$A$1004,A164,Paradas!$B$5:$B$1004,B164))</f>
        <v/>
      </c>
      <c r="L164" s="12">
        <f>IF(J164="","",J164-N(K164))</f>
        <v/>
      </c>
      <c r="M164" s="13">
        <f>IF(OR(A164="",B164=""),"",COUNTIFS(Paradas!$A$5:$A$1004,A164,Paradas!$B$5:$B$1004,B164))</f>
        <v/>
      </c>
      <c r="N164" s="12">
        <f>IF(OR(H164="",I164=""),"",I164-H164)</f>
        <v/>
      </c>
      <c r="O164" s="7" t="n"/>
    </row>
    <row r="165">
      <c r="A165" s="14" t="n"/>
      <c r="B165" s="7" t="n"/>
      <c r="C165" s="7" t="n"/>
      <c r="D165" s="7" t="n"/>
      <c r="E165" s="15" t="n"/>
      <c r="F165" s="15" t="n"/>
      <c r="G165" s="15" t="n"/>
      <c r="H165" s="16" t="n"/>
      <c r="I165" s="16" t="n"/>
      <c r="J165" s="12">
        <f>IF(OR(E165="",F165=""),"",ROUND((MOD(F165-E165,1)-N(G165))*24,2))</f>
        <v/>
      </c>
      <c r="K165" s="12">
        <f>IF(OR(A165="",B165=""),"",SUMIFS(Paradas!$F$5:$F$1004,Paradas!$A$5:$A$1004,A165,Paradas!$B$5:$B$1004,B165))</f>
        <v/>
      </c>
      <c r="L165" s="12">
        <f>IF(J165="","",J165-N(K165))</f>
        <v/>
      </c>
      <c r="M165" s="13">
        <f>IF(OR(A165="",B165=""),"",COUNTIFS(Paradas!$A$5:$A$1004,A165,Paradas!$B$5:$B$1004,B165))</f>
        <v/>
      </c>
      <c r="N165" s="12">
        <f>IF(OR(H165="",I165=""),"",I165-H165)</f>
        <v/>
      </c>
      <c r="O165" s="7" t="n"/>
    </row>
    <row r="166">
      <c r="A166" s="14" t="n"/>
      <c r="B166" s="7" t="n"/>
      <c r="C166" s="7" t="n"/>
      <c r="D166" s="7" t="n"/>
      <c r="E166" s="15" t="n"/>
      <c r="F166" s="15" t="n"/>
      <c r="G166" s="15" t="n"/>
      <c r="H166" s="16" t="n"/>
      <c r="I166" s="16" t="n"/>
      <c r="J166" s="12">
        <f>IF(OR(E166="",F166=""),"",ROUND((MOD(F166-E166,1)-N(G166))*24,2))</f>
        <v/>
      </c>
      <c r="K166" s="12">
        <f>IF(OR(A166="",B166=""),"",SUMIFS(Paradas!$F$5:$F$1004,Paradas!$A$5:$A$1004,A166,Paradas!$B$5:$B$1004,B166))</f>
        <v/>
      </c>
      <c r="L166" s="12">
        <f>IF(J166="","",J166-N(K166))</f>
        <v/>
      </c>
      <c r="M166" s="13">
        <f>IF(OR(A166="",B166=""),"",COUNTIFS(Paradas!$A$5:$A$1004,A166,Paradas!$B$5:$B$1004,B166))</f>
        <v/>
      </c>
      <c r="N166" s="12">
        <f>IF(OR(H166="",I166=""),"",I166-H166)</f>
        <v/>
      </c>
      <c r="O166" s="7" t="n"/>
    </row>
    <row r="167">
      <c r="A167" s="14" t="n"/>
      <c r="B167" s="7" t="n"/>
      <c r="C167" s="7" t="n"/>
      <c r="D167" s="7" t="n"/>
      <c r="E167" s="15" t="n"/>
      <c r="F167" s="15" t="n"/>
      <c r="G167" s="15" t="n"/>
      <c r="H167" s="16" t="n"/>
      <c r="I167" s="16" t="n"/>
      <c r="J167" s="12">
        <f>IF(OR(E167="",F167=""),"",ROUND((MOD(F167-E167,1)-N(G167))*24,2))</f>
        <v/>
      </c>
      <c r="K167" s="12">
        <f>IF(OR(A167="",B167=""),"",SUMIFS(Paradas!$F$5:$F$1004,Paradas!$A$5:$A$1004,A167,Paradas!$B$5:$B$1004,B167))</f>
        <v/>
      </c>
      <c r="L167" s="12">
        <f>IF(J167="","",J167-N(K167))</f>
        <v/>
      </c>
      <c r="M167" s="13">
        <f>IF(OR(A167="",B167=""),"",COUNTIFS(Paradas!$A$5:$A$1004,A167,Paradas!$B$5:$B$1004,B167))</f>
        <v/>
      </c>
      <c r="N167" s="12">
        <f>IF(OR(H167="",I167=""),"",I167-H167)</f>
        <v/>
      </c>
      <c r="O167" s="7" t="n"/>
    </row>
    <row r="168">
      <c r="A168" s="14" t="n"/>
      <c r="B168" s="7" t="n"/>
      <c r="C168" s="7" t="n"/>
      <c r="D168" s="7" t="n"/>
      <c r="E168" s="15" t="n"/>
      <c r="F168" s="15" t="n"/>
      <c r="G168" s="15" t="n"/>
      <c r="H168" s="16" t="n"/>
      <c r="I168" s="16" t="n"/>
      <c r="J168" s="12">
        <f>IF(OR(E168="",F168=""),"",ROUND((MOD(F168-E168,1)-N(G168))*24,2))</f>
        <v/>
      </c>
      <c r="K168" s="12">
        <f>IF(OR(A168="",B168=""),"",SUMIFS(Paradas!$F$5:$F$1004,Paradas!$A$5:$A$1004,A168,Paradas!$B$5:$B$1004,B168))</f>
        <v/>
      </c>
      <c r="L168" s="12">
        <f>IF(J168="","",J168-N(K168))</f>
        <v/>
      </c>
      <c r="M168" s="13">
        <f>IF(OR(A168="",B168=""),"",COUNTIFS(Paradas!$A$5:$A$1004,A168,Paradas!$B$5:$B$1004,B168))</f>
        <v/>
      </c>
      <c r="N168" s="12">
        <f>IF(OR(H168="",I168=""),"",I168-H168)</f>
        <v/>
      </c>
      <c r="O168" s="7" t="n"/>
    </row>
    <row r="169">
      <c r="A169" s="14" t="n"/>
      <c r="B169" s="7" t="n"/>
      <c r="C169" s="7" t="n"/>
      <c r="D169" s="7" t="n"/>
      <c r="E169" s="15" t="n"/>
      <c r="F169" s="15" t="n"/>
      <c r="G169" s="15" t="n"/>
      <c r="H169" s="16" t="n"/>
      <c r="I169" s="16" t="n"/>
      <c r="J169" s="12">
        <f>IF(OR(E169="",F169=""),"",ROUND((MOD(F169-E169,1)-N(G169))*24,2))</f>
        <v/>
      </c>
      <c r="K169" s="12">
        <f>IF(OR(A169="",B169=""),"",SUMIFS(Paradas!$F$5:$F$1004,Paradas!$A$5:$A$1004,A169,Paradas!$B$5:$B$1004,B169))</f>
        <v/>
      </c>
      <c r="L169" s="12">
        <f>IF(J169="","",J169-N(K169))</f>
        <v/>
      </c>
      <c r="M169" s="13">
        <f>IF(OR(A169="",B169=""),"",COUNTIFS(Paradas!$A$5:$A$1004,A169,Paradas!$B$5:$B$1004,B169))</f>
        <v/>
      </c>
      <c r="N169" s="12">
        <f>IF(OR(H169="",I169=""),"",I169-H169)</f>
        <v/>
      </c>
      <c r="O169" s="7" t="n"/>
    </row>
    <row r="170">
      <c r="A170" s="14" t="n"/>
      <c r="B170" s="7" t="n"/>
      <c r="C170" s="7" t="n"/>
      <c r="D170" s="7" t="n"/>
      <c r="E170" s="15" t="n"/>
      <c r="F170" s="15" t="n"/>
      <c r="G170" s="15" t="n"/>
      <c r="H170" s="16" t="n"/>
      <c r="I170" s="16" t="n"/>
      <c r="J170" s="12">
        <f>IF(OR(E170="",F170=""),"",ROUND((MOD(F170-E170,1)-N(G170))*24,2))</f>
        <v/>
      </c>
      <c r="K170" s="12">
        <f>IF(OR(A170="",B170=""),"",SUMIFS(Paradas!$F$5:$F$1004,Paradas!$A$5:$A$1004,A170,Paradas!$B$5:$B$1004,B170))</f>
        <v/>
      </c>
      <c r="L170" s="12">
        <f>IF(J170="","",J170-N(K170))</f>
        <v/>
      </c>
      <c r="M170" s="13">
        <f>IF(OR(A170="",B170=""),"",COUNTIFS(Paradas!$A$5:$A$1004,A170,Paradas!$B$5:$B$1004,B170))</f>
        <v/>
      </c>
      <c r="N170" s="12">
        <f>IF(OR(H170="",I170=""),"",I170-H170)</f>
        <v/>
      </c>
      <c r="O170" s="7" t="n"/>
    </row>
    <row r="171">
      <c r="A171" s="14" t="n"/>
      <c r="B171" s="7" t="n"/>
      <c r="C171" s="7" t="n"/>
      <c r="D171" s="7" t="n"/>
      <c r="E171" s="15" t="n"/>
      <c r="F171" s="15" t="n"/>
      <c r="G171" s="15" t="n"/>
      <c r="H171" s="16" t="n"/>
      <c r="I171" s="16" t="n"/>
      <c r="J171" s="12">
        <f>IF(OR(E171="",F171=""),"",ROUND((MOD(F171-E171,1)-N(G171))*24,2))</f>
        <v/>
      </c>
      <c r="K171" s="12">
        <f>IF(OR(A171="",B171=""),"",SUMIFS(Paradas!$F$5:$F$1004,Paradas!$A$5:$A$1004,A171,Paradas!$B$5:$B$1004,B171))</f>
        <v/>
      </c>
      <c r="L171" s="12">
        <f>IF(J171="","",J171-N(K171))</f>
        <v/>
      </c>
      <c r="M171" s="13">
        <f>IF(OR(A171="",B171=""),"",COUNTIFS(Paradas!$A$5:$A$1004,A171,Paradas!$B$5:$B$1004,B171))</f>
        <v/>
      </c>
      <c r="N171" s="12">
        <f>IF(OR(H171="",I171=""),"",I171-H171)</f>
        <v/>
      </c>
      <c r="O171" s="7" t="n"/>
    </row>
    <row r="172">
      <c r="A172" s="14" t="n"/>
      <c r="B172" s="7" t="n"/>
      <c r="C172" s="7" t="n"/>
      <c r="D172" s="7" t="n"/>
      <c r="E172" s="15" t="n"/>
      <c r="F172" s="15" t="n"/>
      <c r="G172" s="15" t="n"/>
      <c r="H172" s="16" t="n"/>
      <c r="I172" s="16" t="n"/>
      <c r="J172" s="12">
        <f>IF(OR(E172="",F172=""),"",ROUND((MOD(F172-E172,1)-N(G172))*24,2))</f>
        <v/>
      </c>
      <c r="K172" s="12">
        <f>IF(OR(A172="",B172=""),"",SUMIFS(Paradas!$F$5:$F$1004,Paradas!$A$5:$A$1004,A172,Paradas!$B$5:$B$1004,B172))</f>
        <v/>
      </c>
      <c r="L172" s="12">
        <f>IF(J172="","",J172-N(K172))</f>
        <v/>
      </c>
      <c r="M172" s="13">
        <f>IF(OR(A172="",B172=""),"",COUNTIFS(Paradas!$A$5:$A$1004,A172,Paradas!$B$5:$B$1004,B172))</f>
        <v/>
      </c>
      <c r="N172" s="12">
        <f>IF(OR(H172="",I172=""),"",I172-H172)</f>
        <v/>
      </c>
      <c r="O172" s="7" t="n"/>
    </row>
    <row r="173">
      <c r="A173" s="14" t="n"/>
      <c r="B173" s="7" t="n"/>
      <c r="C173" s="7" t="n"/>
      <c r="D173" s="7" t="n"/>
      <c r="E173" s="15" t="n"/>
      <c r="F173" s="15" t="n"/>
      <c r="G173" s="15" t="n"/>
      <c r="H173" s="16" t="n"/>
      <c r="I173" s="16" t="n"/>
      <c r="J173" s="12">
        <f>IF(OR(E173="",F173=""),"",ROUND((MOD(F173-E173,1)-N(G173))*24,2))</f>
        <v/>
      </c>
      <c r="K173" s="12">
        <f>IF(OR(A173="",B173=""),"",SUMIFS(Paradas!$F$5:$F$1004,Paradas!$A$5:$A$1004,A173,Paradas!$B$5:$B$1004,B173))</f>
        <v/>
      </c>
      <c r="L173" s="12">
        <f>IF(J173="","",J173-N(K173))</f>
        <v/>
      </c>
      <c r="M173" s="13">
        <f>IF(OR(A173="",B173=""),"",COUNTIFS(Paradas!$A$5:$A$1004,A173,Paradas!$B$5:$B$1004,B173))</f>
        <v/>
      </c>
      <c r="N173" s="12">
        <f>IF(OR(H173="",I173=""),"",I173-H173)</f>
        <v/>
      </c>
      <c r="O173" s="7" t="n"/>
    </row>
    <row r="174">
      <c r="A174" s="14" t="n"/>
      <c r="B174" s="7" t="n"/>
      <c r="C174" s="7" t="n"/>
      <c r="D174" s="7" t="n"/>
      <c r="E174" s="15" t="n"/>
      <c r="F174" s="15" t="n"/>
      <c r="G174" s="15" t="n"/>
      <c r="H174" s="16" t="n"/>
      <c r="I174" s="16" t="n"/>
      <c r="J174" s="12">
        <f>IF(OR(E174="",F174=""),"",ROUND((MOD(F174-E174,1)-N(G174))*24,2))</f>
        <v/>
      </c>
      <c r="K174" s="12">
        <f>IF(OR(A174="",B174=""),"",SUMIFS(Paradas!$F$5:$F$1004,Paradas!$A$5:$A$1004,A174,Paradas!$B$5:$B$1004,B174))</f>
        <v/>
      </c>
      <c r="L174" s="12">
        <f>IF(J174="","",J174-N(K174))</f>
        <v/>
      </c>
      <c r="M174" s="13">
        <f>IF(OR(A174="",B174=""),"",COUNTIFS(Paradas!$A$5:$A$1004,A174,Paradas!$B$5:$B$1004,B174))</f>
        <v/>
      </c>
      <c r="N174" s="12">
        <f>IF(OR(H174="",I174=""),"",I174-H174)</f>
        <v/>
      </c>
      <c r="O174" s="7" t="n"/>
    </row>
    <row r="175">
      <c r="A175" s="14" t="n"/>
      <c r="B175" s="7" t="n"/>
      <c r="C175" s="7" t="n"/>
      <c r="D175" s="7" t="n"/>
      <c r="E175" s="15" t="n"/>
      <c r="F175" s="15" t="n"/>
      <c r="G175" s="15" t="n"/>
      <c r="H175" s="16" t="n"/>
      <c r="I175" s="16" t="n"/>
      <c r="J175" s="12">
        <f>IF(OR(E175="",F175=""),"",ROUND((MOD(F175-E175,1)-N(G175))*24,2))</f>
        <v/>
      </c>
      <c r="K175" s="12">
        <f>IF(OR(A175="",B175=""),"",SUMIFS(Paradas!$F$5:$F$1004,Paradas!$A$5:$A$1004,A175,Paradas!$B$5:$B$1004,B175))</f>
        <v/>
      </c>
      <c r="L175" s="12">
        <f>IF(J175="","",J175-N(K175))</f>
        <v/>
      </c>
      <c r="M175" s="13">
        <f>IF(OR(A175="",B175=""),"",COUNTIFS(Paradas!$A$5:$A$1004,A175,Paradas!$B$5:$B$1004,B175))</f>
        <v/>
      </c>
      <c r="N175" s="12">
        <f>IF(OR(H175="",I175=""),"",I175-H175)</f>
        <v/>
      </c>
      <c r="O175" s="7" t="n"/>
    </row>
    <row r="176">
      <c r="A176" s="14" t="n"/>
      <c r="B176" s="7" t="n"/>
      <c r="C176" s="7" t="n"/>
      <c r="D176" s="7" t="n"/>
      <c r="E176" s="15" t="n"/>
      <c r="F176" s="15" t="n"/>
      <c r="G176" s="15" t="n"/>
      <c r="H176" s="16" t="n"/>
      <c r="I176" s="16" t="n"/>
      <c r="J176" s="12">
        <f>IF(OR(E176="",F176=""),"",ROUND((MOD(F176-E176,1)-N(G176))*24,2))</f>
        <v/>
      </c>
      <c r="K176" s="12">
        <f>IF(OR(A176="",B176=""),"",SUMIFS(Paradas!$F$5:$F$1004,Paradas!$A$5:$A$1004,A176,Paradas!$B$5:$B$1004,B176))</f>
        <v/>
      </c>
      <c r="L176" s="12">
        <f>IF(J176="","",J176-N(K176))</f>
        <v/>
      </c>
      <c r="M176" s="13">
        <f>IF(OR(A176="",B176=""),"",COUNTIFS(Paradas!$A$5:$A$1004,A176,Paradas!$B$5:$B$1004,B176))</f>
        <v/>
      </c>
      <c r="N176" s="12">
        <f>IF(OR(H176="",I176=""),"",I176-H176)</f>
        <v/>
      </c>
      <c r="O176" s="7" t="n"/>
    </row>
    <row r="177">
      <c r="A177" s="14" t="n"/>
      <c r="B177" s="7" t="n"/>
      <c r="C177" s="7" t="n"/>
      <c r="D177" s="7" t="n"/>
      <c r="E177" s="15" t="n"/>
      <c r="F177" s="15" t="n"/>
      <c r="G177" s="15" t="n"/>
      <c r="H177" s="16" t="n"/>
      <c r="I177" s="16" t="n"/>
      <c r="J177" s="12">
        <f>IF(OR(E177="",F177=""),"",ROUND((MOD(F177-E177,1)-N(G177))*24,2))</f>
        <v/>
      </c>
      <c r="K177" s="12">
        <f>IF(OR(A177="",B177=""),"",SUMIFS(Paradas!$F$5:$F$1004,Paradas!$A$5:$A$1004,A177,Paradas!$B$5:$B$1004,B177))</f>
        <v/>
      </c>
      <c r="L177" s="12">
        <f>IF(J177="","",J177-N(K177))</f>
        <v/>
      </c>
      <c r="M177" s="13">
        <f>IF(OR(A177="",B177=""),"",COUNTIFS(Paradas!$A$5:$A$1004,A177,Paradas!$B$5:$B$1004,B177))</f>
        <v/>
      </c>
      <c r="N177" s="12">
        <f>IF(OR(H177="",I177=""),"",I177-H177)</f>
        <v/>
      </c>
      <c r="O177" s="7" t="n"/>
    </row>
    <row r="178">
      <c r="A178" s="14" t="n"/>
      <c r="B178" s="7" t="n"/>
      <c r="C178" s="7" t="n"/>
      <c r="D178" s="7" t="n"/>
      <c r="E178" s="15" t="n"/>
      <c r="F178" s="15" t="n"/>
      <c r="G178" s="15" t="n"/>
      <c r="H178" s="16" t="n"/>
      <c r="I178" s="16" t="n"/>
      <c r="J178" s="12">
        <f>IF(OR(E178="",F178=""),"",ROUND((MOD(F178-E178,1)-N(G178))*24,2))</f>
        <v/>
      </c>
      <c r="K178" s="12">
        <f>IF(OR(A178="",B178=""),"",SUMIFS(Paradas!$F$5:$F$1004,Paradas!$A$5:$A$1004,A178,Paradas!$B$5:$B$1004,B178))</f>
        <v/>
      </c>
      <c r="L178" s="12">
        <f>IF(J178="","",J178-N(K178))</f>
        <v/>
      </c>
      <c r="M178" s="13">
        <f>IF(OR(A178="",B178=""),"",COUNTIFS(Paradas!$A$5:$A$1004,A178,Paradas!$B$5:$B$1004,B178))</f>
        <v/>
      </c>
      <c r="N178" s="12">
        <f>IF(OR(H178="",I178=""),"",I178-H178)</f>
        <v/>
      </c>
      <c r="O178" s="7" t="n"/>
    </row>
    <row r="179">
      <c r="A179" s="14" t="n"/>
      <c r="B179" s="7" t="n"/>
      <c r="C179" s="7" t="n"/>
      <c r="D179" s="7" t="n"/>
      <c r="E179" s="15" t="n"/>
      <c r="F179" s="15" t="n"/>
      <c r="G179" s="15" t="n"/>
      <c r="H179" s="16" t="n"/>
      <c r="I179" s="16" t="n"/>
      <c r="J179" s="12">
        <f>IF(OR(E179="",F179=""),"",ROUND((MOD(F179-E179,1)-N(G179))*24,2))</f>
        <v/>
      </c>
      <c r="K179" s="12">
        <f>IF(OR(A179="",B179=""),"",SUMIFS(Paradas!$F$5:$F$1004,Paradas!$A$5:$A$1004,A179,Paradas!$B$5:$B$1004,B179))</f>
        <v/>
      </c>
      <c r="L179" s="12">
        <f>IF(J179="","",J179-N(K179))</f>
        <v/>
      </c>
      <c r="M179" s="13">
        <f>IF(OR(A179="",B179=""),"",COUNTIFS(Paradas!$A$5:$A$1004,A179,Paradas!$B$5:$B$1004,B179))</f>
        <v/>
      </c>
      <c r="N179" s="12">
        <f>IF(OR(H179="",I179=""),"",I179-H179)</f>
        <v/>
      </c>
      <c r="O179" s="7" t="n"/>
    </row>
    <row r="180">
      <c r="A180" s="14" t="n"/>
      <c r="B180" s="7" t="n"/>
      <c r="C180" s="7" t="n"/>
      <c r="D180" s="7" t="n"/>
      <c r="E180" s="15" t="n"/>
      <c r="F180" s="15" t="n"/>
      <c r="G180" s="15" t="n"/>
      <c r="H180" s="16" t="n"/>
      <c r="I180" s="16" t="n"/>
      <c r="J180" s="12">
        <f>IF(OR(E180="",F180=""),"",ROUND((MOD(F180-E180,1)-N(G180))*24,2))</f>
        <v/>
      </c>
      <c r="K180" s="12">
        <f>IF(OR(A180="",B180=""),"",SUMIFS(Paradas!$F$5:$F$1004,Paradas!$A$5:$A$1004,A180,Paradas!$B$5:$B$1004,B180))</f>
        <v/>
      </c>
      <c r="L180" s="12">
        <f>IF(J180="","",J180-N(K180))</f>
        <v/>
      </c>
      <c r="M180" s="13">
        <f>IF(OR(A180="",B180=""),"",COUNTIFS(Paradas!$A$5:$A$1004,A180,Paradas!$B$5:$B$1004,B180))</f>
        <v/>
      </c>
      <c r="N180" s="12">
        <f>IF(OR(H180="",I180=""),"",I180-H180)</f>
        <v/>
      </c>
      <c r="O180" s="7" t="n"/>
    </row>
    <row r="181">
      <c r="A181" s="14" t="n"/>
      <c r="B181" s="7" t="n"/>
      <c r="C181" s="7" t="n"/>
      <c r="D181" s="7" t="n"/>
      <c r="E181" s="15" t="n"/>
      <c r="F181" s="15" t="n"/>
      <c r="G181" s="15" t="n"/>
      <c r="H181" s="16" t="n"/>
      <c r="I181" s="16" t="n"/>
      <c r="J181" s="12">
        <f>IF(OR(E181="",F181=""),"",ROUND((MOD(F181-E181,1)-N(G181))*24,2))</f>
        <v/>
      </c>
      <c r="K181" s="12">
        <f>IF(OR(A181="",B181=""),"",SUMIFS(Paradas!$F$5:$F$1004,Paradas!$A$5:$A$1004,A181,Paradas!$B$5:$B$1004,B181))</f>
        <v/>
      </c>
      <c r="L181" s="12">
        <f>IF(J181="","",J181-N(K181))</f>
        <v/>
      </c>
      <c r="M181" s="13">
        <f>IF(OR(A181="",B181=""),"",COUNTIFS(Paradas!$A$5:$A$1004,A181,Paradas!$B$5:$B$1004,B181))</f>
        <v/>
      </c>
      <c r="N181" s="12">
        <f>IF(OR(H181="",I181=""),"",I181-H181)</f>
        <v/>
      </c>
      <c r="O181" s="7" t="n"/>
    </row>
    <row r="182">
      <c r="A182" s="14" t="n"/>
      <c r="B182" s="7" t="n"/>
      <c r="C182" s="7" t="n"/>
      <c r="D182" s="7" t="n"/>
      <c r="E182" s="15" t="n"/>
      <c r="F182" s="15" t="n"/>
      <c r="G182" s="15" t="n"/>
      <c r="H182" s="16" t="n"/>
      <c r="I182" s="16" t="n"/>
      <c r="J182" s="12">
        <f>IF(OR(E182="",F182=""),"",ROUND((MOD(F182-E182,1)-N(G182))*24,2))</f>
        <v/>
      </c>
      <c r="K182" s="12">
        <f>IF(OR(A182="",B182=""),"",SUMIFS(Paradas!$F$5:$F$1004,Paradas!$A$5:$A$1004,A182,Paradas!$B$5:$B$1004,B182))</f>
        <v/>
      </c>
      <c r="L182" s="12">
        <f>IF(J182="","",J182-N(K182))</f>
        <v/>
      </c>
      <c r="M182" s="13">
        <f>IF(OR(A182="",B182=""),"",COUNTIFS(Paradas!$A$5:$A$1004,A182,Paradas!$B$5:$B$1004,B182))</f>
        <v/>
      </c>
      <c r="N182" s="12">
        <f>IF(OR(H182="",I182=""),"",I182-H182)</f>
        <v/>
      </c>
      <c r="O182" s="7" t="n"/>
    </row>
    <row r="183">
      <c r="A183" s="14" t="n"/>
      <c r="B183" s="7" t="n"/>
      <c r="C183" s="7" t="n"/>
      <c r="D183" s="7" t="n"/>
      <c r="E183" s="15" t="n"/>
      <c r="F183" s="15" t="n"/>
      <c r="G183" s="15" t="n"/>
      <c r="H183" s="16" t="n"/>
      <c r="I183" s="16" t="n"/>
      <c r="J183" s="12">
        <f>IF(OR(E183="",F183=""),"",ROUND((MOD(F183-E183,1)-N(G183))*24,2))</f>
        <v/>
      </c>
      <c r="K183" s="12">
        <f>IF(OR(A183="",B183=""),"",SUMIFS(Paradas!$F$5:$F$1004,Paradas!$A$5:$A$1004,A183,Paradas!$B$5:$B$1004,B183))</f>
        <v/>
      </c>
      <c r="L183" s="12">
        <f>IF(J183="","",J183-N(K183))</f>
        <v/>
      </c>
      <c r="M183" s="13">
        <f>IF(OR(A183="",B183=""),"",COUNTIFS(Paradas!$A$5:$A$1004,A183,Paradas!$B$5:$B$1004,B183))</f>
        <v/>
      </c>
      <c r="N183" s="12">
        <f>IF(OR(H183="",I183=""),"",I183-H183)</f>
        <v/>
      </c>
      <c r="O183" s="7" t="n"/>
    </row>
    <row r="184">
      <c r="A184" s="14" t="n"/>
      <c r="B184" s="7" t="n"/>
      <c r="C184" s="7" t="n"/>
      <c r="D184" s="7" t="n"/>
      <c r="E184" s="15" t="n"/>
      <c r="F184" s="15" t="n"/>
      <c r="G184" s="15" t="n"/>
      <c r="H184" s="16" t="n"/>
      <c r="I184" s="16" t="n"/>
      <c r="J184" s="12">
        <f>IF(OR(E184="",F184=""),"",ROUND((MOD(F184-E184,1)-N(G184))*24,2))</f>
        <v/>
      </c>
      <c r="K184" s="12">
        <f>IF(OR(A184="",B184=""),"",SUMIFS(Paradas!$F$5:$F$1004,Paradas!$A$5:$A$1004,A184,Paradas!$B$5:$B$1004,B184))</f>
        <v/>
      </c>
      <c r="L184" s="12">
        <f>IF(J184="","",J184-N(K184))</f>
        <v/>
      </c>
      <c r="M184" s="13">
        <f>IF(OR(A184="",B184=""),"",COUNTIFS(Paradas!$A$5:$A$1004,A184,Paradas!$B$5:$B$1004,B184))</f>
        <v/>
      </c>
      <c r="N184" s="12">
        <f>IF(OR(H184="",I184=""),"",I184-H184)</f>
        <v/>
      </c>
      <c r="O184" s="7" t="n"/>
    </row>
    <row r="185">
      <c r="A185" s="14" t="n"/>
      <c r="B185" s="7" t="n"/>
      <c r="C185" s="7" t="n"/>
      <c r="D185" s="7" t="n"/>
      <c r="E185" s="15" t="n"/>
      <c r="F185" s="15" t="n"/>
      <c r="G185" s="15" t="n"/>
      <c r="H185" s="16" t="n"/>
      <c r="I185" s="16" t="n"/>
      <c r="J185" s="12">
        <f>IF(OR(E185="",F185=""),"",ROUND((MOD(F185-E185,1)-N(G185))*24,2))</f>
        <v/>
      </c>
      <c r="K185" s="12">
        <f>IF(OR(A185="",B185=""),"",SUMIFS(Paradas!$F$5:$F$1004,Paradas!$A$5:$A$1004,A185,Paradas!$B$5:$B$1004,B185))</f>
        <v/>
      </c>
      <c r="L185" s="12">
        <f>IF(J185="","",J185-N(K185))</f>
        <v/>
      </c>
      <c r="M185" s="13">
        <f>IF(OR(A185="",B185=""),"",COUNTIFS(Paradas!$A$5:$A$1004,A185,Paradas!$B$5:$B$1004,B185))</f>
        <v/>
      </c>
      <c r="N185" s="12">
        <f>IF(OR(H185="",I185=""),"",I185-H185)</f>
        <v/>
      </c>
      <c r="O185" s="7" t="n"/>
    </row>
    <row r="186">
      <c r="A186" s="14" t="n"/>
      <c r="B186" s="7" t="n"/>
      <c r="C186" s="7" t="n"/>
      <c r="D186" s="7" t="n"/>
      <c r="E186" s="15" t="n"/>
      <c r="F186" s="15" t="n"/>
      <c r="G186" s="15" t="n"/>
      <c r="H186" s="16" t="n"/>
      <c r="I186" s="16" t="n"/>
      <c r="J186" s="12">
        <f>IF(OR(E186="",F186=""),"",ROUND((MOD(F186-E186,1)-N(G186))*24,2))</f>
        <v/>
      </c>
      <c r="K186" s="12">
        <f>IF(OR(A186="",B186=""),"",SUMIFS(Paradas!$F$5:$F$1004,Paradas!$A$5:$A$1004,A186,Paradas!$B$5:$B$1004,B186))</f>
        <v/>
      </c>
      <c r="L186" s="12">
        <f>IF(J186="","",J186-N(K186))</f>
        <v/>
      </c>
      <c r="M186" s="13">
        <f>IF(OR(A186="",B186=""),"",COUNTIFS(Paradas!$A$5:$A$1004,A186,Paradas!$B$5:$B$1004,B186))</f>
        <v/>
      </c>
      <c r="N186" s="12">
        <f>IF(OR(H186="",I186=""),"",I186-H186)</f>
        <v/>
      </c>
      <c r="O186" s="7" t="n"/>
    </row>
    <row r="187">
      <c r="A187" s="14" t="n"/>
      <c r="B187" s="7" t="n"/>
      <c r="C187" s="7" t="n"/>
      <c r="D187" s="7" t="n"/>
      <c r="E187" s="15" t="n"/>
      <c r="F187" s="15" t="n"/>
      <c r="G187" s="15" t="n"/>
      <c r="H187" s="16" t="n"/>
      <c r="I187" s="16" t="n"/>
      <c r="J187" s="12">
        <f>IF(OR(E187="",F187=""),"",ROUND((MOD(F187-E187,1)-N(G187))*24,2))</f>
        <v/>
      </c>
      <c r="K187" s="12">
        <f>IF(OR(A187="",B187=""),"",SUMIFS(Paradas!$F$5:$F$1004,Paradas!$A$5:$A$1004,A187,Paradas!$B$5:$B$1004,B187))</f>
        <v/>
      </c>
      <c r="L187" s="12">
        <f>IF(J187="","",J187-N(K187))</f>
        <v/>
      </c>
      <c r="M187" s="13">
        <f>IF(OR(A187="",B187=""),"",COUNTIFS(Paradas!$A$5:$A$1004,A187,Paradas!$B$5:$B$1004,B187))</f>
        <v/>
      </c>
      <c r="N187" s="12">
        <f>IF(OR(H187="",I187=""),"",I187-H187)</f>
        <v/>
      </c>
      <c r="O187" s="7" t="n"/>
    </row>
    <row r="188">
      <c r="A188" s="14" t="n"/>
      <c r="B188" s="7" t="n"/>
      <c r="C188" s="7" t="n"/>
      <c r="D188" s="7" t="n"/>
      <c r="E188" s="15" t="n"/>
      <c r="F188" s="15" t="n"/>
      <c r="G188" s="15" t="n"/>
      <c r="H188" s="16" t="n"/>
      <c r="I188" s="16" t="n"/>
      <c r="J188" s="12">
        <f>IF(OR(E188="",F188=""),"",ROUND((MOD(F188-E188,1)-N(G188))*24,2))</f>
        <v/>
      </c>
      <c r="K188" s="12">
        <f>IF(OR(A188="",B188=""),"",SUMIFS(Paradas!$F$5:$F$1004,Paradas!$A$5:$A$1004,A188,Paradas!$B$5:$B$1004,B188))</f>
        <v/>
      </c>
      <c r="L188" s="12">
        <f>IF(J188="","",J188-N(K188))</f>
        <v/>
      </c>
      <c r="M188" s="13">
        <f>IF(OR(A188="",B188=""),"",COUNTIFS(Paradas!$A$5:$A$1004,A188,Paradas!$B$5:$B$1004,B188))</f>
        <v/>
      </c>
      <c r="N188" s="12">
        <f>IF(OR(H188="",I188=""),"",I188-H188)</f>
        <v/>
      </c>
      <c r="O188" s="7" t="n"/>
    </row>
    <row r="189">
      <c r="A189" s="14" t="n"/>
      <c r="B189" s="7" t="n"/>
      <c r="C189" s="7" t="n"/>
      <c r="D189" s="7" t="n"/>
      <c r="E189" s="15" t="n"/>
      <c r="F189" s="15" t="n"/>
      <c r="G189" s="15" t="n"/>
      <c r="H189" s="16" t="n"/>
      <c r="I189" s="16" t="n"/>
      <c r="J189" s="12">
        <f>IF(OR(E189="",F189=""),"",ROUND((MOD(F189-E189,1)-N(G189))*24,2))</f>
        <v/>
      </c>
      <c r="K189" s="12">
        <f>IF(OR(A189="",B189=""),"",SUMIFS(Paradas!$F$5:$F$1004,Paradas!$A$5:$A$1004,A189,Paradas!$B$5:$B$1004,B189))</f>
        <v/>
      </c>
      <c r="L189" s="12">
        <f>IF(J189="","",J189-N(K189))</f>
        <v/>
      </c>
      <c r="M189" s="13">
        <f>IF(OR(A189="",B189=""),"",COUNTIFS(Paradas!$A$5:$A$1004,A189,Paradas!$B$5:$B$1004,B189))</f>
        <v/>
      </c>
      <c r="N189" s="12">
        <f>IF(OR(H189="",I189=""),"",I189-H189)</f>
        <v/>
      </c>
      <c r="O189" s="7" t="n"/>
    </row>
    <row r="190">
      <c r="A190" s="14" t="n"/>
      <c r="B190" s="7" t="n"/>
      <c r="C190" s="7" t="n"/>
      <c r="D190" s="7" t="n"/>
      <c r="E190" s="15" t="n"/>
      <c r="F190" s="15" t="n"/>
      <c r="G190" s="15" t="n"/>
      <c r="H190" s="16" t="n"/>
      <c r="I190" s="16" t="n"/>
      <c r="J190" s="12">
        <f>IF(OR(E190="",F190=""),"",ROUND((MOD(F190-E190,1)-N(G190))*24,2))</f>
        <v/>
      </c>
      <c r="K190" s="12">
        <f>IF(OR(A190="",B190=""),"",SUMIFS(Paradas!$F$5:$F$1004,Paradas!$A$5:$A$1004,A190,Paradas!$B$5:$B$1004,B190))</f>
        <v/>
      </c>
      <c r="L190" s="12">
        <f>IF(J190="","",J190-N(K190))</f>
        <v/>
      </c>
      <c r="M190" s="13">
        <f>IF(OR(A190="",B190=""),"",COUNTIFS(Paradas!$A$5:$A$1004,A190,Paradas!$B$5:$B$1004,B190))</f>
        <v/>
      </c>
      <c r="N190" s="12">
        <f>IF(OR(H190="",I190=""),"",I190-H190)</f>
        <v/>
      </c>
      <c r="O190" s="7" t="n"/>
    </row>
    <row r="191">
      <c r="A191" s="14" t="n"/>
      <c r="B191" s="7" t="n"/>
      <c r="C191" s="7" t="n"/>
      <c r="D191" s="7" t="n"/>
      <c r="E191" s="15" t="n"/>
      <c r="F191" s="15" t="n"/>
      <c r="G191" s="15" t="n"/>
      <c r="H191" s="16" t="n"/>
      <c r="I191" s="16" t="n"/>
      <c r="J191" s="12">
        <f>IF(OR(E191="",F191=""),"",ROUND((MOD(F191-E191,1)-N(G191))*24,2))</f>
        <v/>
      </c>
      <c r="K191" s="12">
        <f>IF(OR(A191="",B191=""),"",SUMIFS(Paradas!$F$5:$F$1004,Paradas!$A$5:$A$1004,A191,Paradas!$B$5:$B$1004,B191))</f>
        <v/>
      </c>
      <c r="L191" s="12">
        <f>IF(J191="","",J191-N(K191))</f>
        <v/>
      </c>
      <c r="M191" s="13">
        <f>IF(OR(A191="",B191=""),"",COUNTIFS(Paradas!$A$5:$A$1004,A191,Paradas!$B$5:$B$1004,B191))</f>
        <v/>
      </c>
      <c r="N191" s="12">
        <f>IF(OR(H191="",I191=""),"",I191-H191)</f>
        <v/>
      </c>
      <c r="O191" s="7" t="n"/>
    </row>
    <row r="192">
      <c r="A192" s="14" t="n"/>
      <c r="B192" s="7" t="n"/>
      <c r="C192" s="7" t="n"/>
      <c r="D192" s="7" t="n"/>
      <c r="E192" s="15" t="n"/>
      <c r="F192" s="15" t="n"/>
      <c r="G192" s="15" t="n"/>
      <c r="H192" s="16" t="n"/>
      <c r="I192" s="16" t="n"/>
      <c r="J192" s="12">
        <f>IF(OR(E192="",F192=""),"",ROUND((MOD(F192-E192,1)-N(G192))*24,2))</f>
        <v/>
      </c>
      <c r="K192" s="12">
        <f>IF(OR(A192="",B192=""),"",SUMIFS(Paradas!$F$5:$F$1004,Paradas!$A$5:$A$1004,A192,Paradas!$B$5:$B$1004,B192))</f>
        <v/>
      </c>
      <c r="L192" s="12">
        <f>IF(J192="","",J192-N(K192))</f>
        <v/>
      </c>
      <c r="M192" s="13">
        <f>IF(OR(A192="",B192=""),"",COUNTIFS(Paradas!$A$5:$A$1004,A192,Paradas!$B$5:$B$1004,B192))</f>
        <v/>
      </c>
      <c r="N192" s="12">
        <f>IF(OR(H192="",I192=""),"",I192-H192)</f>
        <v/>
      </c>
      <c r="O192" s="7" t="n"/>
    </row>
    <row r="193">
      <c r="A193" s="14" t="n"/>
      <c r="B193" s="7" t="n"/>
      <c r="C193" s="7" t="n"/>
      <c r="D193" s="7" t="n"/>
      <c r="E193" s="15" t="n"/>
      <c r="F193" s="15" t="n"/>
      <c r="G193" s="15" t="n"/>
      <c r="H193" s="16" t="n"/>
      <c r="I193" s="16" t="n"/>
      <c r="J193" s="12">
        <f>IF(OR(E193="",F193=""),"",ROUND((MOD(F193-E193,1)-N(G193))*24,2))</f>
        <v/>
      </c>
      <c r="K193" s="12">
        <f>IF(OR(A193="",B193=""),"",SUMIFS(Paradas!$F$5:$F$1004,Paradas!$A$5:$A$1004,A193,Paradas!$B$5:$B$1004,B193))</f>
        <v/>
      </c>
      <c r="L193" s="12">
        <f>IF(J193="","",J193-N(K193))</f>
        <v/>
      </c>
      <c r="M193" s="13">
        <f>IF(OR(A193="",B193=""),"",COUNTIFS(Paradas!$A$5:$A$1004,A193,Paradas!$B$5:$B$1004,B193))</f>
        <v/>
      </c>
      <c r="N193" s="12">
        <f>IF(OR(H193="",I193=""),"",I193-H193)</f>
        <v/>
      </c>
      <c r="O193" s="7" t="n"/>
    </row>
    <row r="194">
      <c r="A194" s="14" t="n"/>
      <c r="B194" s="7" t="n"/>
      <c r="C194" s="7" t="n"/>
      <c r="D194" s="7" t="n"/>
      <c r="E194" s="15" t="n"/>
      <c r="F194" s="15" t="n"/>
      <c r="G194" s="15" t="n"/>
      <c r="H194" s="16" t="n"/>
      <c r="I194" s="16" t="n"/>
      <c r="J194" s="12">
        <f>IF(OR(E194="",F194=""),"",ROUND((MOD(F194-E194,1)-N(G194))*24,2))</f>
        <v/>
      </c>
      <c r="K194" s="12">
        <f>IF(OR(A194="",B194=""),"",SUMIFS(Paradas!$F$5:$F$1004,Paradas!$A$5:$A$1004,A194,Paradas!$B$5:$B$1004,B194))</f>
        <v/>
      </c>
      <c r="L194" s="12">
        <f>IF(J194="","",J194-N(K194))</f>
        <v/>
      </c>
      <c r="M194" s="13">
        <f>IF(OR(A194="",B194=""),"",COUNTIFS(Paradas!$A$5:$A$1004,A194,Paradas!$B$5:$B$1004,B194))</f>
        <v/>
      </c>
      <c r="N194" s="12">
        <f>IF(OR(H194="",I194=""),"",I194-H194)</f>
        <v/>
      </c>
      <c r="O194" s="7" t="n"/>
    </row>
    <row r="195">
      <c r="A195" s="14" t="n"/>
      <c r="B195" s="7" t="n"/>
      <c r="C195" s="7" t="n"/>
      <c r="D195" s="7" t="n"/>
      <c r="E195" s="15" t="n"/>
      <c r="F195" s="15" t="n"/>
      <c r="G195" s="15" t="n"/>
      <c r="H195" s="16" t="n"/>
      <c r="I195" s="16" t="n"/>
      <c r="J195" s="12">
        <f>IF(OR(E195="",F195=""),"",ROUND((MOD(F195-E195,1)-N(G195))*24,2))</f>
        <v/>
      </c>
      <c r="K195" s="12">
        <f>IF(OR(A195="",B195=""),"",SUMIFS(Paradas!$F$5:$F$1004,Paradas!$A$5:$A$1004,A195,Paradas!$B$5:$B$1004,B195))</f>
        <v/>
      </c>
      <c r="L195" s="12">
        <f>IF(J195="","",J195-N(K195))</f>
        <v/>
      </c>
      <c r="M195" s="13">
        <f>IF(OR(A195="",B195=""),"",COUNTIFS(Paradas!$A$5:$A$1004,A195,Paradas!$B$5:$B$1004,B195))</f>
        <v/>
      </c>
      <c r="N195" s="12">
        <f>IF(OR(H195="",I195=""),"",I195-H195)</f>
        <v/>
      </c>
      <c r="O195" s="7" t="n"/>
    </row>
    <row r="196">
      <c r="A196" s="14" t="n"/>
      <c r="B196" s="7" t="n"/>
      <c r="C196" s="7" t="n"/>
      <c r="D196" s="7" t="n"/>
      <c r="E196" s="15" t="n"/>
      <c r="F196" s="15" t="n"/>
      <c r="G196" s="15" t="n"/>
      <c r="H196" s="16" t="n"/>
      <c r="I196" s="16" t="n"/>
      <c r="J196" s="12">
        <f>IF(OR(E196="",F196=""),"",ROUND((MOD(F196-E196,1)-N(G196))*24,2))</f>
        <v/>
      </c>
      <c r="K196" s="12">
        <f>IF(OR(A196="",B196=""),"",SUMIFS(Paradas!$F$5:$F$1004,Paradas!$A$5:$A$1004,A196,Paradas!$B$5:$B$1004,B196))</f>
        <v/>
      </c>
      <c r="L196" s="12">
        <f>IF(J196="","",J196-N(K196))</f>
        <v/>
      </c>
      <c r="M196" s="13">
        <f>IF(OR(A196="",B196=""),"",COUNTIFS(Paradas!$A$5:$A$1004,A196,Paradas!$B$5:$B$1004,B196))</f>
        <v/>
      </c>
      <c r="N196" s="12">
        <f>IF(OR(H196="",I196=""),"",I196-H196)</f>
        <v/>
      </c>
      <c r="O196" s="7" t="n"/>
    </row>
    <row r="197">
      <c r="A197" s="14" t="n"/>
      <c r="B197" s="7" t="n"/>
      <c r="C197" s="7" t="n"/>
      <c r="D197" s="7" t="n"/>
      <c r="E197" s="15" t="n"/>
      <c r="F197" s="15" t="n"/>
      <c r="G197" s="15" t="n"/>
      <c r="H197" s="16" t="n"/>
      <c r="I197" s="16" t="n"/>
      <c r="J197" s="12">
        <f>IF(OR(E197="",F197=""),"",ROUND((MOD(F197-E197,1)-N(G197))*24,2))</f>
        <v/>
      </c>
      <c r="K197" s="12">
        <f>IF(OR(A197="",B197=""),"",SUMIFS(Paradas!$F$5:$F$1004,Paradas!$A$5:$A$1004,A197,Paradas!$B$5:$B$1004,B197))</f>
        <v/>
      </c>
      <c r="L197" s="12">
        <f>IF(J197="","",J197-N(K197))</f>
        <v/>
      </c>
      <c r="M197" s="13">
        <f>IF(OR(A197="",B197=""),"",COUNTIFS(Paradas!$A$5:$A$1004,A197,Paradas!$B$5:$B$1004,B197))</f>
        <v/>
      </c>
      <c r="N197" s="12">
        <f>IF(OR(H197="",I197=""),"",I197-H197)</f>
        <v/>
      </c>
      <c r="O197" s="7" t="n"/>
    </row>
    <row r="198">
      <c r="A198" s="14" t="n"/>
      <c r="B198" s="7" t="n"/>
      <c r="C198" s="7" t="n"/>
      <c r="D198" s="7" t="n"/>
      <c r="E198" s="15" t="n"/>
      <c r="F198" s="15" t="n"/>
      <c r="G198" s="15" t="n"/>
      <c r="H198" s="16" t="n"/>
      <c r="I198" s="16" t="n"/>
      <c r="J198" s="12">
        <f>IF(OR(E198="",F198=""),"",ROUND((MOD(F198-E198,1)-N(G198))*24,2))</f>
        <v/>
      </c>
      <c r="K198" s="12">
        <f>IF(OR(A198="",B198=""),"",SUMIFS(Paradas!$F$5:$F$1004,Paradas!$A$5:$A$1004,A198,Paradas!$B$5:$B$1004,B198))</f>
        <v/>
      </c>
      <c r="L198" s="12">
        <f>IF(J198="","",J198-N(K198))</f>
        <v/>
      </c>
      <c r="M198" s="13">
        <f>IF(OR(A198="",B198=""),"",COUNTIFS(Paradas!$A$5:$A$1004,A198,Paradas!$B$5:$B$1004,B198))</f>
        <v/>
      </c>
      <c r="N198" s="12">
        <f>IF(OR(H198="",I198=""),"",I198-H198)</f>
        <v/>
      </c>
      <c r="O198" s="7" t="n"/>
    </row>
    <row r="199">
      <c r="A199" s="14" t="n"/>
      <c r="B199" s="7" t="n"/>
      <c r="C199" s="7" t="n"/>
      <c r="D199" s="7" t="n"/>
      <c r="E199" s="15" t="n"/>
      <c r="F199" s="15" t="n"/>
      <c r="G199" s="15" t="n"/>
      <c r="H199" s="16" t="n"/>
      <c r="I199" s="16" t="n"/>
      <c r="J199" s="12">
        <f>IF(OR(E199="",F199=""),"",ROUND((MOD(F199-E199,1)-N(G199))*24,2))</f>
        <v/>
      </c>
      <c r="K199" s="12">
        <f>IF(OR(A199="",B199=""),"",SUMIFS(Paradas!$F$5:$F$1004,Paradas!$A$5:$A$1004,A199,Paradas!$B$5:$B$1004,B199))</f>
        <v/>
      </c>
      <c r="L199" s="12">
        <f>IF(J199="","",J199-N(K199))</f>
        <v/>
      </c>
      <c r="M199" s="13">
        <f>IF(OR(A199="",B199=""),"",COUNTIFS(Paradas!$A$5:$A$1004,A199,Paradas!$B$5:$B$1004,B199))</f>
        <v/>
      </c>
      <c r="N199" s="12">
        <f>IF(OR(H199="",I199=""),"",I199-H199)</f>
        <v/>
      </c>
      <c r="O199" s="7" t="n"/>
    </row>
    <row r="200">
      <c r="A200" s="14" t="n"/>
      <c r="B200" s="7" t="n"/>
      <c r="C200" s="7" t="n"/>
      <c r="D200" s="7" t="n"/>
      <c r="E200" s="15" t="n"/>
      <c r="F200" s="15" t="n"/>
      <c r="G200" s="15" t="n"/>
      <c r="H200" s="16" t="n"/>
      <c r="I200" s="16" t="n"/>
      <c r="J200" s="12">
        <f>IF(OR(E200="",F200=""),"",ROUND((MOD(F200-E200,1)-N(G200))*24,2))</f>
        <v/>
      </c>
      <c r="K200" s="12">
        <f>IF(OR(A200="",B200=""),"",SUMIFS(Paradas!$F$5:$F$1004,Paradas!$A$5:$A$1004,A200,Paradas!$B$5:$B$1004,B200))</f>
        <v/>
      </c>
      <c r="L200" s="12">
        <f>IF(J200="","",J200-N(K200))</f>
        <v/>
      </c>
      <c r="M200" s="13">
        <f>IF(OR(A200="",B200=""),"",COUNTIFS(Paradas!$A$5:$A$1004,A200,Paradas!$B$5:$B$1004,B200))</f>
        <v/>
      </c>
      <c r="N200" s="12">
        <f>IF(OR(H200="",I200=""),"",I200-H200)</f>
        <v/>
      </c>
      <c r="O200" s="7" t="n"/>
    </row>
    <row r="201">
      <c r="A201" s="14" t="n"/>
      <c r="B201" s="7" t="n"/>
      <c r="C201" s="7" t="n"/>
      <c r="D201" s="7" t="n"/>
      <c r="E201" s="15" t="n"/>
      <c r="F201" s="15" t="n"/>
      <c r="G201" s="15" t="n"/>
      <c r="H201" s="16" t="n"/>
      <c r="I201" s="16" t="n"/>
      <c r="J201" s="12">
        <f>IF(OR(E201="",F201=""),"",ROUND((MOD(F201-E201,1)-N(G201))*24,2))</f>
        <v/>
      </c>
      <c r="K201" s="12">
        <f>IF(OR(A201="",B201=""),"",SUMIFS(Paradas!$F$5:$F$1004,Paradas!$A$5:$A$1004,A201,Paradas!$B$5:$B$1004,B201))</f>
        <v/>
      </c>
      <c r="L201" s="12">
        <f>IF(J201="","",J201-N(K201))</f>
        <v/>
      </c>
      <c r="M201" s="13">
        <f>IF(OR(A201="",B201=""),"",COUNTIFS(Paradas!$A$5:$A$1004,A201,Paradas!$B$5:$B$1004,B201))</f>
        <v/>
      </c>
      <c r="N201" s="12">
        <f>IF(OR(H201="",I201=""),"",I201-H201)</f>
        <v/>
      </c>
      <c r="O201" s="7" t="n"/>
    </row>
    <row r="202">
      <c r="A202" s="14" t="n"/>
      <c r="B202" s="7" t="n"/>
      <c r="C202" s="7" t="n"/>
      <c r="D202" s="7" t="n"/>
      <c r="E202" s="15" t="n"/>
      <c r="F202" s="15" t="n"/>
      <c r="G202" s="15" t="n"/>
      <c r="H202" s="16" t="n"/>
      <c r="I202" s="16" t="n"/>
      <c r="J202" s="12">
        <f>IF(OR(E202="",F202=""),"",ROUND((MOD(F202-E202,1)-N(G202))*24,2))</f>
        <v/>
      </c>
      <c r="K202" s="12">
        <f>IF(OR(A202="",B202=""),"",SUMIFS(Paradas!$F$5:$F$1004,Paradas!$A$5:$A$1004,A202,Paradas!$B$5:$B$1004,B202))</f>
        <v/>
      </c>
      <c r="L202" s="12">
        <f>IF(J202="","",J202-N(K202))</f>
        <v/>
      </c>
      <c r="M202" s="13">
        <f>IF(OR(A202="",B202=""),"",COUNTIFS(Paradas!$A$5:$A$1004,A202,Paradas!$B$5:$B$1004,B202))</f>
        <v/>
      </c>
      <c r="N202" s="12">
        <f>IF(OR(H202="",I202=""),"",I202-H202)</f>
        <v/>
      </c>
      <c r="O202" s="7" t="n"/>
    </row>
    <row r="203">
      <c r="A203" s="14" t="n"/>
      <c r="B203" s="7" t="n"/>
      <c r="C203" s="7" t="n"/>
      <c r="D203" s="7" t="n"/>
      <c r="E203" s="15" t="n"/>
      <c r="F203" s="15" t="n"/>
      <c r="G203" s="15" t="n"/>
      <c r="H203" s="16" t="n"/>
      <c r="I203" s="16" t="n"/>
      <c r="J203" s="12">
        <f>IF(OR(E203="",F203=""),"",ROUND((MOD(F203-E203,1)-N(G203))*24,2))</f>
        <v/>
      </c>
      <c r="K203" s="12">
        <f>IF(OR(A203="",B203=""),"",SUMIFS(Paradas!$F$5:$F$1004,Paradas!$A$5:$A$1004,A203,Paradas!$B$5:$B$1004,B203))</f>
        <v/>
      </c>
      <c r="L203" s="12">
        <f>IF(J203="","",J203-N(K203))</f>
        <v/>
      </c>
      <c r="M203" s="13">
        <f>IF(OR(A203="",B203=""),"",COUNTIFS(Paradas!$A$5:$A$1004,A203,Paradas!$B$5:$B$1004,B203))</f>
        <v/>
      </c>
      <c r="N203" s="12">
        <f>IF(OR(H203="",I203=""),"",I203-H203)</f>
        <v/>
      </c>
      <c r="O203" s="7" t="n"/>
    </row>
    <row r="204">
      <c r="A204" s="14" t="n"/>
      <c r="B204" s="7" t="n"/>
      <c r="C204" s="7" t="n"/>
      <c r="D204" s="7" t="n"/>
      <c r="E204" s="15" t="n"/>
      <c r="F204" s="15" t="n"/>
      <c r="G204" s="15" t="n"/>
      <c r="H204" s="16" t="n"/>
      <c r="I204" s="16" t="n"/>
      <c r="J204" s="12">
        <f>IF(OR(E204="",F204=""),"",ROUND((MOD(F204-E204,1)-N(G204))*24,2))</f>
        <v/>
      </c>
      <c r="K204" s="12">
        <f>IF(OR(A204="",B204=""),"",SUMIFS(Paradas!$F$5:$F$1004,Paradas!$A$5:$A$1004,A204,Paradas!$B$5:$B$1004,B204))</f>
        <v/>
      </c>
      <c r="L204" s="12">
        <f>IF(J204="","",J204-N(K204))</f>
        <v/>
      </c>
      <c r="M204" s="13">
        <f>IF(OR(A204="",B204=""),"",COUNTIFS(Paradas!$A$5:$A$1004,A204,Paradas!$B$5:$B$1004,B204))</f>
        <v/>
      </c>
      <c r="N204" s="12">
        <f>IF(OR(H204="",I204=""),"",I204-H204)</f>
        <v/>
      </c>
      <c r="O204" s="7" t="n"/>
    </row>
    <row r="205">
      <c r="A205" s="14" t="n"/>
      <c r="B205" s="7" t="n"/>
      <c r="C205" s="7" t="n"/>
      <c r="D205" s="7" t="n"/>
      <c r="E205" s="15" t="n"/>
      <c r="F205" s="15" t="n"/>
      <c r="G205" s="15" t="n"/>
      <c r="H205" s="16" t="n"/>
      <c r="I205" s="16" t="n"/>
      <c r="J205" s="12">
        <f>IF(OR(E205="",F205=""),"",ROUND((MOD(F205-E205,1)-N(G205))*24,2))</f>
        <v/>
      </c>
      <c r="K205" s="12">
        <f>IF(OR(A205="",B205=""),"",SUMIFS(Paradas!$F$5:$F$1004,Paradas!$A$5:$A$1004,A205,Paradas!$B$5:$B$1004,B205))</f>
        <v/>
      </c>
      <c r="L205" s="12">
        <f>IF(J205="","",J205-N(K205))</f>
        <v/>
      </c>
      <c r="M205" s="13">
        <f>IF(OR(A205="",B205=""),"",COUNTIFS(Paradas!$A$5:$A$1004,A205,Paradas!$B$5:$B$1004,B205))</f>
        <v/>
      </c>
      <c r="N205" s="12">
        <f>IF(OR(H205="",I205=""),"",I205-H205)</f>
        <v/>
      </c>
      <c r="O205" s="7" t="n"/>
    </row>
    <row r="206">
      <c r="A206" s="14" t="n"/>
      <c r="B206" s="7" t="n"/>
      <c r="C206" s="7" t="n"/>
      <c r="D206" s="7" t="n"/>
      <c r="E206" s="15" t="n"/>
      <c r="F206" s="15" t="n"/>
      <c r="G206" s="15" t="n"/>
      <c r="H206" s="16" t="n"/>
      <c r="I206" s="16" t="n"/>
      <c r="J206" s="12">
        <f>IF(OR(E206="",F206=""),"",ROUND((MOD(F206-E206,1)-N(G206))*24,2))</f>
        <v/>
      </c>
      <c r="K206" s="12">
        <f>IF(OR(A206="",B206=""),"",SUMIFS(Paradas!$F$5:$F$1004,Paradas!$A$5:$A$1004,A206,Paradas!$B$5:$B$1004,B206))</f>
        <v/>
      </c>
      <c r="L206" s="12">
        <f>IF(J206="","",J206-N(K206))</f>
        <v/>
      </c>
      <c r="M206" s="13">
        <f>IF(OR(A206="",B206=""),"",COUNTIFS(Paradas!$A$5:$A$1004,A206,Paradas!$B$5:$B$1004,B206))</f>
        <v/>
      </c>
      <c r="N206" s="12">
        <f>IF(OR(H206="",I206=""),"",I206-H206)</f>
        <v/>
      </c>
      <c r="O206" s="7" t="n"/>
    </row>
    <row r="207">
      <c r="A207" s="14" t="n"/>
      <c r="B207" s="7" t="n"/>
      <c r="C207" s="7" t="n"/>
      <c r="D207" s="7" t="n"/>
      <c r="E207" s="15" t="n"/>
      <c r="F207" s="15" t="n"/>
      <c r="G207" s="15" t="n"/>
      <c r="H207" s="16" t="n"/>
      <c r="I207" s="16" t="n"/>
      <c r="J207" s="12">
        <f>IF(OR(E207="",F207=""),"",ROUND((MOD(F207-E207,1)-N(G207))*24,2))</f>
        <v/>
      </c>
      <c r="K207" s="12">
        <f>IF(OR(A207="",B207=""),"",SUMIFS(Paradas!$F$5:$F$1004,Paradas!$A$5:$A$1004,A207,Paradas!$B$5:$B$1004,B207))</f>
        <v/>
      </c>
      <c r="L207" s="12">
        <f>IF(J207="","",J207-N(K207))</f>
        <v/>
      </c>
      <c r="M207" s="13">
        <f>IF(OR(A207="",B207=""),"",COUNTIFS(Paradas!$A$5:$A$1004,A207,Paradas!$B$5:$B$1004,B207))</f>
        <v/>
      </c>
      <c r="N207" s="12">
        <f>IF(OR(H207="",I207=""),"",I207-H207)</f>
        <v/>
      </c>
      <c r="O207" s="7" t="n"/>
    </row>
    <row r="208">
      <c r="A208" s="14" t="n"/>
      <c r="B208" s="7" t="n"/>
      <c r="C208" s="7" t="n"/>
      <c r="D208" s="7" t="n"/>
      <c r="E208" s="15" t="n"/>
      <c r="F208" s="15" t="n"/>
      <c r="G208" s="15" t="n"/>
      <c r="H208" s="16" t="n"/>
      <c r="I208" s="16" t="n"/>
      <c r="J208" s="12">
        <f>IF(OR(E208="",F208=""),"",ROUND((MOD(F208-E208,1)-N(G208))*24,2))</f>
        <v/>
      </c>
      <c r="K208" s="12">
        <f>IF(OR(A208="",B208=""),"",SUMIFS(Paradas!$F$5:$F$1004,Paradas!$A$5:$A$1004,A208,Paradas!$B$5:$B$1004,B208))</f>
        <v/>
      </c>
      <c r="L208" s="12">
        <f>IF(J208="","",J208-N(K208))</f>
        <v/>
      </c>
      <c r="M208" s="13">
        <f>IF(OR(A208="",B208=""),"",COUNTIFS(Paradas!$A$5:$A$1004,A208,Paradas!$B$5:$B$1004,B208))</f>
        <v/>
      </c>
      <c r="N208" s="12">
        <f>IF(OR(H208="",I208=""),"",I208-H208)</f>
        <v/>
      </c>
      <c r="O208" s="7" t="n"/>
    </row>
    <row r="209">
      <c r="A209" s="14" t="n"/>
      <c r="B209" s="7" t="n"/>
      <c r="C209" s="7" t="n"/>
      <c r="D209" s="7" t="n"/>
      <c r="E209" s="15" t="n"/>
      <c r="F209" s="15" t="n"/>
      <c r="G209" s="15" t="n"/>
      <c r="H209" s="16" t="n"/>
      <c r="I209" s="16" t="n"/>
      <c r="J209" s="12">
        <f>IF(OR(E209="",F209=""),"",ROUND((MOD(F209-E209,1)-N(G209))*24,2))</f>
        <v/>
      </c>
      <c r="K209" s="12">
        <f>IF(OR(A209="",B209=""),"",SUMIFS(Paradas!$F$5:$F$1004,Paradas!$A$5:$A$1004,A209,Paradas!$B$5:$B$1004,B209))</f>
        <v/>
      </c>
      <c r="L209" s="12">
        <f>IF(J209="","",J209-N(K209))</f>
        <v/>
      </c>
      <c r="M209" s="13">
        <f>IF(OR(A209="",B209=""),"",COUNTIFS(Paradas!$A$5:$A$1004,A209,Paradas!$B$5:$B$1004,B209))</f>
        <v/>
      </c>
      <c r="N209" s="12">
        <f>IF(OR(H209="",I209=""),"",I209-H209)</f>
        <v/>
      </c>
      <c r="O209" s="7" t="n"/>
    </row>
    <row r="210">
      <c r="A210" s="14" t="n"/>
      <c r="B210" s="7" t="n"/>
      <c r="C210" s="7" t="n"/>
      <c r="D210" s="7" t="n"/>
      <c r="E210" s="15" t="n"/>
      <c r="F210" s="15" t="n"/>
      <c r="G210" s="15" t="n"/>
      <c r="H210" s="16" t="n"/>
      <c r="I210" s="16" t="n"/>
      <c r="J210" s="12">
        <f>IF(OR(E210="",F210=""),"",ROUND((MOD(F210-E210,1)-N(G210))*24,2))</f>
        <v/>
      </c>
      <c r="K210" s="12">
        <f>IF(OR(A210="",B210=""),"",SUMIFS(Paradas!$F$5:$F$1004,Paradas!$A$5:$A$1004,A210,Paradas!$B$5:$B$1004,B210))</f>
        <v/>
      </c>
      <c r="L210" s="12">
        <f>IF(J210="","",J210-N(K210))</f>
        <v/>
      </c>
      <c r="M210" s="13">
        <f>IF(OR(A210="",B210=""),"",COUNTIFS(Paradas!$A$5:$A$1004,A210,Paradas!$B$5:$B$1004,B210))</f>
        <v/>
      </c>
      <c r="N210" s="12">
        <f>IF(OR(H210="",I210=""),"",I210-H210)</f>
        <v/>
      </c>
      <c r="O210" s="7" t="n"/>
    </row>
    <row r="211">
      <c r="A211" s="14" t="n"/>
      <c r="B211" s="7" t="n"/>
      <c r="C211" s="7" t="n"/>
      <c r="D211" s="7" t="n"/>
      <c r="E211" s="15" t="n"/>
      <c r="F211" s="15" t="n"/>
      <c r="G211" s="15" t="n"/>
      <c r="H211" s="16" t="n"/>
      <c r="I211" s="16" t="n"/>
      <c r="J211" s="12">
        <f>IF(OR(E211="",F211=""),"",ROUND((MOD(F211-E211,1)-N(G211))*24,2))</f>
        <v/>
      </c>
      <c r="K211" s="12">
        <f>IF(OR(A211="",B211=""),"",SUMIFS(Paradas!$F$5:$F$1004,Paradas!$A$5:$A$1004,A211,Paradas!$B$5:$B$1004,B211))</f>
        <v/>
      </c>
      <c r="L211" s="12">
        <f>IF(J211="","",J211-N(K211))</f>
        <v/>
      </c>
      <c r="M211" s="13">
        <f>IF(OR(A211="",B211=""),"",COUNTIFS(Paradas!$A$5:$A$1004,A211,Paradas!$B$5:$B$1004,B211))</f>
        <v/>
      </c>
      <c r="N211" s="12">
        <f>IF(OR(H211="",I211=""),"",I211-H211)</f>
        <v/>
      </c>
      <c r="O211" s="7" t="n"/>
    </row>
    <row r="212">
      <c r="A212" s="14" t="n"/>
      <c r="B212" s="7" t="n"/>
      <c r="C212" s="7" t="n"/>
      <c r="D212" s="7" t="n"/>
      <c r="E212" s="15" t="n"/>
      <c r="F212" s="15" t="n"/>
      <c r="G212" s="15" t="n"/>
      <c r="H212" s="16" t="n"/>
      <c r="I212" s="16" t="n"/>
      <c r="J212" s="12">
        <f>IF(OR(E212="",F212=""),"",ROUND((MOD(F212-E212,1)-N(G212))*24,2))</f>
        <v/>
      </c>
      <c r="K212" s="12">
        <f>IF(OR(A212="",B212=""),"",SUMIFS(Paradas!$F$5:$F$1004,Paradas!$A$5:$A$1004,A212,Paradas!$B$5:$B$1004,B212))</f>
        <v/>
      </c>
      <c r="L212" s="12">
        <f>IF(J212="","",J212-N(K212))</f>
        <v/>
      </c>
      <c r="M212" s="13">
        <f>IF(OR(A212="",B212=""),"",COUNTIFS(Paradas!$A$5:$A$1004,A212,Paradas!$B$5:$B$1004,B212))</f>
        <v/>
      </c>
      <c r="N212" s="12">
        <f>IF(OR(H212="",I212=""),"",I212-H212)</f>
        <v/>
      </c>
      <c r="O212" s="7" t="n"/>
    </row>
    <row r="213">
      <c r="A213" s="14" t="n"/>
      <c r="B213" s="7" t="n"/>
      <c r="C213" s="7" t="n"/>
      <c r="D213" s="7" t="n"/>
      <c r="E213" s="15" t="n"/>
      <c r="F213" s="15" t="n"/>
      <c r="G213" s="15" t="n"/>
      <c r="H213" s="16" t="n"/>
      <c r="I213" s="16" t="n"/>
      <c r="J213" s="12">
        <f>IF(OR(E213="",F213=""),"",ROUND((MOD(F213-E213,1)-N(G213))*24,2))</f>
        <v/>
      </c>
      <c r="K213" s="12">
        <f>IF(OR(A213="",B213=""),"",SUMIFS(Paradas!$F$5:$F$1004,Paradas!$A$5:$A$1004,A213,Paradas!$B$5:$B$1004,B213))</f>
        <v/>
      </c>
      <c r="L213" s="12">
        <f>IF(J213="","",J213-N(K213))</f>
        <v/>
      </c>
      <c r="M213" s="13">
        <f>IF(OR(A213="",B213=""),"",COUNTIFS(Paradas!$A$5:$A$1004,A213,Paradas!$B$5:$B$1004,B213))</f>
        <v/>
      </c>
      <c r="N213" s="12">
        <f>IF(OR(H213="",I213=""),"",I213-H213)</f>
        <v/>
      </c>
      <c r="O213" s="7" t="n"/>
    </row>
    <row r="214">
      <c r="A214" s="14" t="n"/>
      <c r="B214" s="7" t="n"/>
      <c r="C214" s="7" t="n"/>
      <c r="D214" s="7" t="n"/>
      <c r="E214" s="15" t="n"/>
      <c r="F214" s="15" t="n"/>
      <c r="G214" s="15" t="n"/>
      <c r="H214" s="16" t="n"/>
      <c r="I214" s="16" t="n"/>
      <c r="J214" s="12">
        <f>IF(OR(E214="",F214=""),"",ROUND((MOD(F214-E214,1)-N(G214))*24,2))</f>
        <v/>
      </c>
      <c r="K214" s="12">
        <f>IF(OR(A214="",B214=""),"",SUMIFS(Paradas!$F$5:$F$1004,Paradas!$A$5:$A$1004,A214,Paradas!$B$5:$B$1004,B214))</f>
        <v/>
      </c>
      <c r="L214" s="12">
        <f>IF(J214="","",J214-N(K214))</f>
        <v/>
      </c>
      <c r="M214" s="13">
        <f>IF(OR(A214="",B214=""),"",COUNTIFS(Paradas!$A$5:$A$1004,A214,Paradas!$B$5:$B$1004,B214))</f>
        <v/>
      </c>
      <c r="N214" s="12">
        <f>IF(OR(H214="",I214=""),"",I214-H214)</f>
        <v/>
      </c>
      <c r="O214" s="7" t="n"/>
    </row>
    <row r="215">
      <c r="A215" s="14" t="n"/>
      <c r="B215" s="7" t="n"/>
      <c r="C215" s="7" t="n"/>
      <c r="D215" s="7" t="n"/>
      <c r="E215" s="15" t="n"/>
      <c r="F215" s="15" t="n"/>
      <c r="G215" s="15" t="n"/>
      <c r="H215" s="16" t="n"/>
      <c r="I215" s="16" t="n"/>
      <c r="J215" s="12">
        <f>IF(OR(E215="",F215=""),"",ROUND((MOD(F215-E215,1)-N(G215))*24,2))</f>
        <v/>
      </c>
      <c r="K215" s="12">
        <f>IF(OR(A215="",B215=""),"",SUMIFS(Paradas!$F$5:$F$1004,Paradas!$A$5:$A$1004,A215,Paradas!$B$5:$B$1004,B215))</f>
        <v/>
      </c>
      <c r="L215" s="12">
        <f>IF(J215="","",J215-N(K215))</f>
        <v/>
      </c>
      <c r="M215" s="13">
        <f>IF(OR(A215="",B215=""),"",COUNTIFS(Paradas!$A$5:$A$1004,A215,Paradas!$B$5:$B$1004,B215))</f>
        <v/>
      </c>
      <c r="N215" s="12">
        <f>IF(OR(H215="",I215=""),"",I215-H215)</f>
        <v/>
      </c>
      <c r="O215" s="7" t="n"/>
    </row>
    <row r="216">
      <c r="A216" s="14" t="n"/>
      <c r="B216" s="7" t="n"/>
      <c r="C216" s="7" t="n"/>
      <c r="D216" s="7" t="n"/>
      <c r="E216" s="15" t="n"/>
      <c r="F216" s="15" t="n"/>
      <c r="G216" s="15" t="n"/>
      <c r="H216" s="16" t="n"/>
      <c r="I216" s="16" t="n"/>
      <c r="J216" s="12">
        <f>IF(OR(E216="",F216=""),"",ROUND((MOD(F216-E216,1)-N(G216))*24,2))</f>
        <v/>
      </c>
      <c r="K216" s="12">
        <f>IF(OR(A216="",B216=""),"",SUMIFS(Paradas!$F$5:$F$1004,Paradas!$A$5:$A$1004,A216,Paradas!$B$5:$B$1004,B216))</f>
        <v/>
      </c>
      <c r="L216" s="12">
        <f>IF(J216="","",J216-N(K216))</f>
        <v/>
      </c>
      <c r="M216" s="13">
        <f>IF(OR(A216="",B216=""),"",COUNTIFS(Paradas!$A$5:$A$1004,A216,Paradas!$B$5:$B$1004,B216))</f>
        <v/>
      </c>
      <c r="N216" s="12">
        <f>IF(OR(H216="",I216=""),"",I216-H216)</f>
        <v/>
      </c>
      <c r="O216" s="7" t="n"/>
    </row>
    <row r="217">
      <c r="A217" s="14" t="n"/>
      <c r="B217" s="7" t="n"/>
      <c r="C217" s="7" t="n"/>
      <c r="D217" s="7" t="n"/>
      <c r="E217" s="15" t="n"/>
      <c r="F217" s="15" t="n"/>
      <c r="G217" s="15" t="n"/>
      <c r="H217" s="16" t="n"/>
      <c r="I217" s="16" t="n"/>
      <c r="J217" s="12">
        <f>IF(OR(E217="",F217=""),"",ROUND((MOD(F217-E217,1)-N(G217))*24,2))</f>
        <v/>
      </c>
      <c r="K217" s="12">
        <f>IF(OR(A217="",B217=""),"",SUMIFS(Paradas!$F$5:$F$1004,Paradas!$A$5:$A$1004,A217,Paradas!$B$5:$B$1004,B217))</f>
        <v/>
      </c>
      <c r="L217" s="12">
        <f>IF(J217="","",J217-N(K217))</f>
        <v/>
      </c>
      <c r="M217" s="13">
        <f>IF(OR(A217="",B217=""),"",COUNTIFS(Paradas!$A$5:$A$1004,A217,Paradas!$B$5:$B$1004,B217))</f>
        <v/>
      </c>
      <c r="N217" s="12">
        <f>IF(OR(H217="",I217=""),"",I217-H217)</f>
        <v/>
      </c>
      <c r="O217" s="7" t="n"/>
    </row>
    <row r="218">
      <c r="A218" s="14" t="n"/>
      <c r="B218" s="7" t="n"/>
      <c r="C218" s="7" t="n"/>
      <c r="D218" s="7" t="n"/>
      <c r="E218" s="15" t="n"/>
      <c r="F218" s="15" t="n"/>
      <c r="G218" s="15" t="n"/>
      <c r="H218" s="16" t="n"/>
      <c r="I218" s="16" t="n"/>
      <c r="J218" s="12">
        <f>IF(OR(E218="",F218=""),"",ROUND((MOD(F218-E218,1)-N(G218))*24,2))</f>
        <v/>
      </c>
      <c r="K218" s="12">
        <f>IF(OR(A218="",B218=""),"",SUMIFS(Paradas!$F$5:$F$1004,Paradas!$A$5:$A$1004,A218,Paradas!$B$5:$B$1004,B218))</f>
        <v/>
      </c>
      <c r="L218" s="12">
        <f>IF(J218="","",J218-N(K218))</f>
        <v/>
      </c>
      <c r="M218" s="13">
        <f>IF(OR(A218="",B218=""),"",COUNTIFS(Paradas!$A$5:$A$1004,A218,Paradas!$B$5:$B$1004,B218))</f>
        <v/>
      </c>
      <c r="N218" s="12">
        <f>IF(OR(H218="",I218=""),"",I218-H218)</f>
        <v/>
      </c>
      <c r="O218" s="7" t="n"/>
    </row>
    <row r="219">
      <c r="A219" s="14" t="n"/>
      <c r="B219" s="7" t="n"/>
      <c r="C219" s="7" t="n"/>
      <c r="D219" s="7" t="n"/>
      <c r="E219" s="15" t="n"/>
      <c r="F219" s="15" t="n"/>
      <c r="G219" s="15" t="n"/>
      <c r="H219" s="16" t="n"/>
      <c r="I219" s="16" t="n"/>
      <c r="J219" s="12">
        <f>IF(OR(E219="",F219=""),"",ROUND((MOD(F219-E219,1)-N(G219))*24,2))</f>
        <v/>
      </c>
      <c r="K219" s="12">
        <f>IF(OR(A219="",B219=""),"",SUMIFS(Paradas!$F$5:$F$1004,Paradas!$A$5:$A$1004,A219,Paradas!$B$5:$B$1004,B219))</f>
        <v/>
      </c>
      <c r="L219" s="12">
        <f>IF(J219="","",J219-N(K219))</f>
        <v/>
      </c>
      <c r="M219" s="13">
        <f>IF(OR(A219="",B219=""),"",COUNTIFS(Paradas!$A$5:$A$1004,A219,Paradas!$B$5:$B$1004,B219))</f>
        <v/>
      </c>
      <c r="N219" s="12">
        <f>IF(OR(H219="",I219=""),"",I219-H219)</f>
        <v/>
      </c>
      <c r="O219" s="7" t="n"/>
    </row>
    <row r="220">
      <c r="A220" s="14" t="n"/>
      <c r="B220" s="7" t="n"/>
      <c r="C220" s="7" t="n"/>
      <c r="D220" s="7" t="n"/>
      <c r="E220" s="15" t="n"/>
      <c r="F220" s="15" t="n"/>
      <c r="G220" s="15" t="n"/>
      <c r="H220" s="16" t="n"/>
      <c r="I220" s="16" t="n"/>
      <c r="J220" s="12">
        <f>IF(OR(E220="",F220=""),"",ROUND((MOD(F220-E220,1)-N(G220))*24,2))</f>
        <v/>
      </c>
      <c r="K220" s="12">
        <f>IF(OR(A220="",B220=""),"",SUMIFS(Paradas!$F$5:$F$1004,Paradas!$A$5:$A$1004,A220,Paradas!$B$5:$B$1004,B220))</f>
        <v/>
      </c>
      <c r="L220" s="12">
        <f>IF(J220="","",J220-N(K220))</f>
        <v/>
      </c>
      <c r="M220" s="13">
        <f>IF(OR(A220="",B220=""),"",COUNTIFS(Paradas!$A$5:$A$1004,A220,Paradas!$B$5:$B$1004,B220))</f>
        <v/>
      </c>
      <c r="N220" s="12">
        <f>IF(OR(H220="",I220=""),"",I220-H220)</f>
        <v/>
      </c>
      <c r="O220" s="7" t="n"/>
    </row>
    <row r="221">
      <c r="A221" s="14" t="n"/>
      <c r="B221" s="7" t="n"/>
      <c r="C221" s="7" t="n"/>
      <c r="D221" s="7" t="n"/>
      <c r="E221" s="15" t="n"/>
      <c r="F221" s="15" t="n"/>
      <c r="G221" s="15" t="n"/>
      <c r="H221" s="16" t="n"/>
      <c r="I221" s="16" t="n"/>
      <c r="J221" s="12">
        <f>IF(OR(E221="",F221=""),"",ROUND((MOD(F221-E221,1)-N(G221))*24,2))</f>
        <v/>
      </c>
      <c r="K221" s="12">
        <f>IF(OR(A221="",B221=""),"",SUMIFS(Paradas!$F$5:$F$1004,Paradas!$A$5:$A$1004,A221,Paradas!$B$5:$B$1004,B221))</f>
        <v/>
      </c>
      <c r="L221" s="12">
        <f>IF(J221="","",J221-N(K221))</f>
        <v/>
      </c>
      <c r="M221" s="13">
        <f>IF(OR(A221="",B221=""),"",COUNTIFS(Paradas!$A$5:$A$1004,A221,Paradas!$B$5:$B$1004,B221))</f>
        <v/>
      </c>
      <c r="N221" s="12">
        <f>IF(OR(H221="",I221=""),"",I221-H221)</f>
        <v/>
      </c>
      <c r="O221" s="7" t="n"/>
    </row>
    <row r="222">
      <c r="A222" s="14" t="n"/>
      <c r="B222" s="7" t="n"/>
      <c r="C222" s="7" t="n"/>
      <c r="D222" s="7" t="n"/>
      <c r="E222" s="15" t="n"/>
      <c r="F222" s="15" t="n"/>
      <c r="G222" s="15" t="n"/>
      <c r="H222" s="16" t="n"/>
      <c r="I222" s="16" t="n"/>
      <c r="J222" s="12">
        <f>IF(OR(E222="",F222=""),"",ROUND((MOD(F222-E222,1)-N(G222))*24,2))</f>
        <v/>
      </c>
      <c r="K222" s="12">
        <f>IF(OR(A222="",B222=""),"",SUMIFS(Paradas!$F$5:$F$1004,Paradas!$A$5:$A$1004,A222,Paradas!$B$5:$B$1004,B222))</f>
        <v/>
      </c>
      <c r="L222" s="12">
        <f>IF(J222="","",J222-N(K222))</f>
        <v/>
      </c>
      <c r="M222" s="13">
        <f>IF(OR(A222="",B222=""),"",COUNTIFS(Paradas!$A$5:$A$1004,A222,Paradas!$B$5:$B$1004,B222))</f>
        <v/>
      </c>
      <c r="N222" s="12">
        <f>IF(OR(H222="",I222=""),"",I222-H222)</f>
        <v/>
      </c>
      <c r="O222" s="7" t="n"/>
    </row>
    <row r="223">
      <c r="A223" s="14" t="n"/>
      <c r="B223" s="7" t="n"/>
      <c r="C223" s="7" t="n"/>
      <c r="D223" s="7" t="n"/>
      <c r="E223" s="15" t="n"/>
      <c r="F223" s="15" t="n"/>
      <c r="G223" s="15" t="n"/>
      <c r="H223" s="16" t="n"/>
      <c r="I223" s="16" t="n"/>
      <c r="J223" s="12">
        <f>IF(OR(E223="",F223=""),"",ROUND((MOD(F223-E223,1)-N(G223))*24,2))</f>
        <v/>
      </c>
      <c r="K223" s="12">
        <f>IF(OR(A223="",B223=""),"",SUMIFS(Paradas!$F$5:$F$1004,Paradas!$A$5:$A$1004,A223,Paradas!$B$5:$B$1004,B223))</f>
        <v/>
      </c>
      <c r="L223" s="12">
        <f>IF(J223="","",J223-N(K223))</f>
        <v/>
      </c>
      <c r="M223" s="13">
        <f>IF(OR(A223="",B223=""),"",COUNTIFS(Paradas!$A$5:$A$1004,A223,Paradas!$B$5:$B$1004,B223))</f>
        <v/>
      </c>
      <c r="N223" s="12">
        <f>IF(OR(H223="",I223=""),"",I223-H223)</f>
        <v/>
      </c>
      <c r="O223" s="7" t="n"/>
    </row>
    <row r="224">
      <c r="A224" s="14" t="n"/>
      <c r="B224" s="7" t="n"/>
      <c r="C224" s="7" t="n"/>
      <c r="D224" s="7" t="n"/>
      <c r="E224" s="15" t="n"/>
      <c r="F224" s="15" t="n"/>
      <c r="G224" s="15" t="n"/>
      <c r="H224" s="16" t="n"/>
      <c r="I224" s="16" t="n"/>
      <c r="J224" s="12">
        <f>IF(OR(E224="",F224=""),"",ROUND((MOD(F224-E224,1)-N(G224))*24,2))</f>
        <v/>
      </c>
      <c r="K224" s="12">
        <f>IF(OR(A224="",B224=""),"",SUMIFS(Paradas!$F$5:$F$1004,Paradas!$A$5:$A$1004,A224,Paradas!$B$5:$B$1004,B224))</f>
        <v/>
      </c>
      <c r="L224" s="12">
        <f>IF(J224="","",J224-N(K224))</f>
        <v/>
      </c>
      <c r="M224" s="13">
        <f>IF(OR(A224="",B224=""),"",COUNTIFS(Paradas!$A$5:$A$1004,A224,Paradas!$B$5:$B$1004,B224))</f>
        <v/>
      </c>
      <c r="N224" s="12">
        <f>IF(OR(H224="",I224=""),"",I224-H224)</f>
        <v/>
      </c>
      <c r="O224" s="7" t="n"/>
    </row>
    <row r="225">
      <c r="A225" s="14" t="n"/>
      <c r="B225" s="7" t="n"/>
      <c r="C225" s="7" t="n"/>
      <c r="D225" s="7" t="n"/>
      <c r="E225" s="15" t="n"/>
      <c r="F225" s="15" t="n"/>
      <c r="G225" s="15" t="n"/>
      <c r="H225" s="16" t="n"/>
      <c r="I225" s="16" t="n"/>
      <c r="J225" s="12">
        <f>IF(OR(E225="",F225=""),"",ROUND((MOD(F225-E225,1)-N(G225))*24,2))</f>
        <v/>
      </c>
      <c r="K225" s="12">
        <f>IF(OR(A225="",B225=""),"",SUMIFS(Paradas!$F$5:$F$1004,Paradas!$A$5:$A$1004,A225,Paradas!$B$5:$B$1004,B225))</f>
        <v/>
      </c>
      <c r="L225" s="12">
        <f>IF(J225="","",J225-N(K225))</f>
        <v/>
      </c>
      <c r="M225" s="13">
        <f>IF(OR(A225="",B225=""),"",COUNTIFS(Paradas!$A$5:$A$1004,A225,Paradas!$B$5:$B$1004,B225))</f>
        <v/>
      </c>
      <c r="N225" s="12">
        <f>IF(OR(H225="",I225=""),"",I225-H225)</f>
        <v/>
      </c>
      <c r="O225" s="7" t="n"/>
    </row>
    <row r="226">
      <c r="A226" s="14" t="n"/>
      <c r="B226" s="7" t="n"/>
      <c r="C226" s="7" t="n"/>
      <c r="D226" s="7" t="n"/>
      <c r="E226" s="15" t="n"/>
      <c r="F226" s="15" t="n"/>
      <c r="G226" s="15" t="n"/>
      <c r="H226" s="16" t="n"/>
      <c r="I226" s="16" t="n"/>
      <c r="J226" s="12">
        <f>IF(OR(E226="",F226=""),"",ROUND((MOD(F226-E226,1)-N(G226))*24,2))</f>
        <v/>
      </c>
      <c r="K226" s="12">
        <f>IF(OR(A226="",B226=""),"",SUMIFS(Paradas!$F$5:$F$1004,Paradas!$A$5:$A$1004,A226,Paradas!$B$5:$B$1004,B226))</f>
        <v/>
      </c>
      <c r="L226" s="12">
        <f>IF(J226="","",J226-N(K226))</f>
        <v/>
      </c>
      <c r="M226" s="13">
        <f>IF(OR(A226="",B226=""),"",COUNTIFS(Paradas!$A$5:$A$1004,A226,Paradas!$B$5:$B$1004,B226))</f>
        <v/>
      </c>
      <c r="N226" s="12">
        <f>IF(OR(H226="",I226=""),"",I226-H226)</f>
        <v/>
      </c>
      <c r="O226" s="7" t="n"/>
    </row>
    <row r="227">
      <c r="A227" s="14" t="n"/>
      <c r="B227" s="7" t="n"/>
      <c r="C227" s="7" t="n"/>
      <c r="D227" s="7" t="n"/>
      <c r="E227" s="15" t="n"/>
      <c r="F227" s="15" t="n"/>
      <c r="G227" s="15" t="n"/>
      <c r="H227" s="16" t="n"/>
      <c r="I227" s="16" t="n"/>
      <c r="J227" s="12">
        <f>IF(OR(E227="",F227=""),"",ROUND((MOD(F227-E227,1)-N(G227))*24,2))</f>
        <v/>
      </c>
      <c r="K227" s="12">
        <f>IF(OR(A227="",B227=""),"",SUMIFS(Paradas!$F$5:$F$1004,Paradas!$A$5:$A$1004,A227,Paradas!$B$5:$B$1004,B227))</f>
        <v/>
      </c>
      <c r="L227" s="12">
        <f>IF(J227="","",J227-N(K227))</f>
        <v/>
      </c>
      <c r="M227" s="13">
        <f>IF(OR(A227="",B227=""),"",COUNTIFS(Paradas!$A$5:$A$1004,A227,Paradas!$B$5:$B$1004,B227))</f>
        <v/>
      </c>
      <c r="N227" s="12">
        <f>IF(OR(H227="",I227=""),"",I227-H227)</f>
        <v/>
      </c>
      <c r="O227" s="7" t="n"/>
    </row>
    <row r="228">
      <c r="A228" s="14" t="n"/>
      <c r="B228" s="7" t="n"/>
      <c r="C228" s="7" t="n"/>
      <c r="D228" s="7" t="n"/>
      <c r="E228" s="15" t="n"/>
      <c r="F228" s="15" t="n"/>
      <c r="G228" s="15" t="n"/>
      <c r="H228" s="16" t="n"/>
      <c r="I228" s="16" t="n"/>
      <c r="J228" s="12">
        <f>IF(OR(E228="",F228=""),"",ROUND((MOD(F228-E228,1)-N(G228))*24,2))</f>
        <v/>
      </c>
      <c r="K228" s="12">
        <f>IF(OR(A228="",B228=""),"",SUMIFS(Paradas!$F$5:$F$1004,Paradas!$A$5:$A$1004,A228,Paradas!$B$5:$B$1004,B228))</f>
        <v/>
      </c>
      <c r="L228" s="12">
        <f>IF(J228="","",J228-N(K228))</f>
        <v/>
      </c>
      <c r="M228" s="13">
        <f>IF(OR(A228="",B228=""),"",COUNTIFS(Paradas!$A$5:$A$1004,A228,Paradas!$B$5:$B$1004,B228))</f>
        <v/>
      </c>
      <c r="N228" s="12">
        <f>IF(OR(H228="",I228=""),"",I228-H228)</f>
        <v/>
      </c>
      <c r="O228" s="7" t="n"/>
    </row>
    <row r="229">
      <c r="A229" s="14" t="n"/>
      <c r="B229" s="7" t="n"/>
      <c r="C229" s="7" t="n"/>
      <c r="D229" s="7" t="n"/>
      <c r="E229" s="15" t="n"/>
      <c r="F229" s="15" t="n"/>
      <c r="G229" s="15" t="n"/>
      <c r="H229" s="16" t="n"/>
      <c r="I229" s="16" t="n"/>
      <c r="J229" s="12">
        <f>IF(OR(E229="",F229=""),"",ROUND((MOD(F229-E229,1)-N(G229))*24,2))</f>
        <v/>
      </c>
      <c r="K229" s="12">
        <f>IF(OR(A229="",B229=""),"",SUMIFS(Paradas!$F$5:$F$1004,Paradas!$A$5:$A$1004,A229,Paradas!$B$5:$B$1004,B229))</f>
        <v/>
      </c>
      <c r="L229" s="12">
        <f>IF(J229="","",J229-N(K229))</f>
        <v/>
      </c>
      <c r="M229" s="13">
        <f>IF(OR(A229="",B229=""),"",COUNTIFS(Paradas!$A$5:$A$1004,A229,Paradas!$B$5:$B$1004,B229))</f>
        <v/>
      </c>
      <c r="N229" s="12">
        <f>IF(OR(H229="",I229=""),"",I229-H229)</f>
        <v/>
      </c>
      <c r="O229" s="7" t="n"/>
    </row>
    <row r="230">
      <c r="A230" s="14" t="n"/>
      <c r="B230" s="7" t="n"/>
      <c r="C230" s="7" t="n"/>
      <c r="D230" s="7" t="n"/>
      <c r="E230" s="15" t="n"/>
      <c r="F230" s="15" t="n"/>
      <c r="G230" s="15" t="n"/>
      <c r="H230" s="16" t="n"/>
      <c r="I230" s="16" t="n"/>
      <c r="J230" s="12">
        <f>IF(OR(E230="",F230=""),"",ROUND((MOD(F230-E230,1)-N(G230))*24,2))</f>
        <v/>
      </c>
      <c r="K230" s="12">
        <f>IF(OR(A230="",B230=""),"",SUMIFS(Paradas!$F$5:$F$1004,Paradas!$A$5:$A$1004,A230,Paradas!$B$5:$B$1004,B230))</f>
        <v/>
      </c>
      <c r="L230" s="12">
        <f>IF(J230="","",J230-N(K230))</f>
        <v/>
      </c>
      <c r="M230" s="13">
        <f>IF(OR(A230="",B230=""),"",COUNTIFS(Paradas!$A$5:$A$1004,A230,Paradas!$B$5:$B$1004,B230))</f>
        <v/>
      </c>
      <c r="N230" s="12">
        <f>IF(OR(H230="",I230=""),"",I230-H230)</f>
        <v/>
      </c>
      <c r="O230" s="7" t="n"/>
    </row>
    <row r="231">
      <c r="A231" s="14" t="n"/>
      <c r="B231" s="7" t="n"/>
      <c r="C231" s="7" t="n"/>
      <c r="D231" s="7" t="n"/>
      <c r="E231" s="15" t="n"/>
      <c r="F231" s="15" t="n"/>
      <c r="G231" s="15" t="n"/>
      <c r="H231" s="16" t="n"/>
      <c r="I231" s="16" t="n"/>
      <c r="J231" s="12">
        <f>IF(OR(E231="",F231=""),"",ROUND((MOD(F231-E231,1)-N(G231))*24,2))</f>
        <v/>
      </c>
      <c r="K231" s="12">
        <f>IF(OR(A231="",B231=""),"",SUMIFS(Paradas!$F$5:$F$1004,Paradas!$A$5:$A$1004,A231,Paradas!$B$5:$B$1004,B231))</f>
        <v/>
      </c>
      <c r="L231" s="12">
        <f>IF(J231="","",J231-N(K231))</f>
        <v/>
      </c>
      <c r="M231" s="13">
        <f>IF(OR(A231="",B231=""),"",COUNTIFS(Paradas!$A$5:$A$1004,A231,Paradas!$B$5:$B$1004,B231))</f>
        <v/>
      </c>
      <c r="N231" s="12">
        <f>IF(OR(H231="",I231=""),"",I231-H231)</f>
        <v/>
      </c>
      <c r="O231" s="7" t="n"/>
    </row>
    <row r="232">
      <c r="A232" s="14" t="n"/>
      <c r="B232" s="7" t="n"/>
      <c r="C232" s="7" t="n"/>
      <c r="D232" s="7" t="n"/>
      <c r="E232" s="15" t="n"/>
      <c r="F232" s="15" t="n"/>
      <c r="G232" s="15" t="n"/>
      <c r="H232" s="16" t="n"/>
      <c r="I232" s="16" t="n"/>
      <c r="J232" s="12">
        <f>IF(OR(E232="",F232=""),"",ROUND((MOD(F232-E232,1)-N(G232))*24,2))</f>
        <v/>
      </c>
      <c r="K232" s="12">
        <f>IF(OR(A232="",B232=""),"",SUMIFS(Paradas!$F$5:$F$1004,Paradas!$A$5:$A$1004,A232,Paradas!$B$5:$B$1004,B232))</f>
        <v/>
      </c>
      <c r="L232" s="12">
        <f>IF(J232="","",J232-N(K232))</f>
        <v/>
      </c>
      <c r="M232" s="13">
        <f>IF(OR(A232="",B232=""),"",COUNTIFS(Paradas!$A$5:$A$1004,A232,Paradas!$B$5:$B$1004,B232))</f>
        <v/>
      </c>
      <c r="N232" s="12">
        <f>IF(OR(H232="",I232=""),"",I232-H232)</f>
        <v/>
      </c>
      <c r="O232" s="7" t="n"/>
    </row>
    <row r="233">
      <c r="A233" s="14" t="n"/>
      <c r="B233" s="7" t="n"/>
      <c r="C233" s="7" t="n"/>
      <c r="D233" s="7" t="n"/>
      <c r="E233" s="15" t="n"/>
      <c r="F233" s="15" t="n"/>
      <c r="G233" s="15" t="n"/>
      <c r="H233" s="16" t="n"/>
      <c r="I233" s="16" t="n"/>
      <c r="J233" s="12">
        <f>IF(OR(E233="",F233=""),"",ROUND((MOD(F233-E233,1)-N(G233))*24,2))</f>
        <v/>
      </c>
      <c r="K233" s="12">
        <f>IF(OR(A233="",B233=""),"",SUMIFS(Paradas!$F$5:$F$1004,Paradas!$A$5:$A$1004,A233,Paradas!$B$5:$B$1004,B233))</f>
        <v/>
      </c>
      <c r="L233" s="12">
        <f>IF(J233="","",J233-N(K233))</f>
        <v/>
      </c>
      <c r="M233" s="13">
        <f>IF(OR(A233="",B233=""),"",COUNTIFS(Paradas!$A$5:$A$1004,A233,Paradas!$B$5:$B$1004,B233))</f>
        <v/>
      </c>
      <c r="N233" s="12">
        <f>IF(OR(H233="",I233=""),"",I233-H233)</f>
        <v/>
      </c>
      <c r="O233" s="7" t="n"/>
    </row>
    <row r="234">
      <c r="A234" s="14" t="n"/>
      <c r="B234" s="7" t="n"/>
      <c r="C234" s="7" t="n"/>
      <c r="D234" s="7" t="n"/>
      <c r="E234" s="15" t="n"/>
      <c r="F234" s="15" t="n"/>
      <c r="G234" s="15" t="n"/>
      <c r="H234" s="16" t="n"/>
      <c r="I234" s="16" t="n"/>
      <c r="J234" s="12">
        <f>IF(OR(E234="",F234=""),"",ROUND((MOD(F234-E234,1)-N(G234))*24,2))</f>
        <v/>
      </c>
      <c r="K234" s="12">
        <f>IF(OR(A234="",B234=""),"",SUMIFS(Paradas!$F$5:$F$1004,Paradas!$A$5:$A$1004,A234,Paradas!$B$5:$B$1004,B234))</f>
        <v/>
      </c>
      <c r="L234" s="12">
        <f>IF(J234="","",J234-N(K234))</f>
        <v/>
      </c>
      <c r="M234" s="13">
        <f>IF(OR(A234="",B234=""),"",COUNTIFS(Paradas!$A$5:$A$1004,A234,Paradas!$B$5:$B$1004,B234))</f>
        <v/>
      </c>
      <c r="N234" s="12">
        <f>IF(OR(H234="",I234=""),"",I234-H234)</f>
        <v/>
      </c>
      <c r="O234" s="7" t="n"/>
    </row>
    <row r="235">
      <c r="A235" s="14" t="n"/>
      <c r="B235" s="7" t="n"/>
      <c r="C235" s="7" t="n"/>
      <c r="D235" s="7" t="n"/>
      <c r="E235" s="15" t="n"/>
      <c r="F235" s="15" t="n"/>
      <c r="G235" s="15" t="n"/>
      <c r="H235" s="16" t="n"/>
      <c r="I235" s="16" t="n"/>
      <c r="J235" s="12">
        <f>IF(OR(E235="",F235=""),"",ROUND((MOD(F235-E235,1)-N(G235))*24,2))</f>
        <v/>
      </c>
      <c r="K235" s="12">
        <f>IF(OR(A235="",B235=""),"",SUMIFS(Paradas!$F$5:$F$1004,Paradas!$A$5:$A$1004,A235,Paradas!$B$5:$B$1004,B235))</f>
        <v/>
      </c>
      <c r="L235" s="12">
        <f>IF(J235="","",J235-N(K235))</f>
        <v/>
      </c>
      <c r="M235" s="13">
        <f>IF(OR(A235="",B235=""),"",COUNTIFS(Paradas!$A$5:$A$1004,A235,Paradas!$B$5:$B$1004,B235))</f>
        <v/>
      </c>
      <c r="N235" s="12">
        <f>IF(OR(H235="",I235=""),"",I235-H235)</f>
        <v/>
      </c>
      <c r="O235" s="7" t="n"/>
    </row>
    <row r="236">
      <c r="A236" s="14" t="n"/>
      <c r="B236" s="7" t="n"/>
      <c r="C236" s="7" t="n"/>
      <c r="D236" s="7" t="n"/>
      <c r="E236" s="15" t="n"/>
      <c r="F236" s="15" t="n"/>
      <c r="G236" s="15" t="n"/>
      <c r="H236" s="16" t="n"/>
      <c r="I236" s="16" t="n"/>
      <c r="J236" s="12">
        <f>IF(OR(E236="",F236=""),"",ROUND((MOD(F236-E236,1)-N(G236))*24,2))</f>
        <v/>
      </c>
      <c r="K236" s="12">
        <f>IF(OR(A236="",B236=""),"",SUMIFS(Paradas!$F$5:$F$1004,Paradas!$A$5:$A$1004,A236,Paradas!$B$5:$B$1004,B236))</f>
        <v/>
      </c>
      <c r="L236" s="12">
        <f>IF(J236="","",J236-N(K236))</f>
        <v/>
      </c>
      <c r="M236" s="13">
        <f>IF(OR(A236="",B236=""),"",COUNTIFS(Paradas!$A$5:$A$1004,A236,Paradas!$B$5:$B$1004,B236))</f>
        <v/>
      </c>
      <c r="N236" s="12">
        <f>IF(OR(H236="",I236=""),"",I236-H236)</f>
        <v/>
      </c>
      <c r="O236" s="7" t="n"/>
    </row>
    <row r="237">
      <c r="A237" s="14" t="n"/>
      <c r="B237" s="7" t="n"/>
      <c r="C237" s="7" t="n"/>
      <c r="D237" s="7" t="n"/>
      <c r="E237" s="15" t="n"/>
      <c r="F237" s="15" t="n"/>
      <c r="G237" s="15" t="n"/>
      <c r="H237" s="16" t="n"/>
      <c r="I237" s="16" t="n"/>
      <c r="J237" s="12">
        <f>IF(OR(E237="",F237=""),"",ROUND((MOD(F237-E237,1)-N(G237))*24,2))</f>
        <v/>
      </c>
      <c r="K237" s="12">
        <f>IF(OR(A237="",B237=""),"",SUMIFS(Paradas!$F$5:$F$1004,Paradas!$A$5:$A$1004,A237,Paradas!$B$5:$B$1004,B237))</f>
        <v/>
      </c>
      <c r="L237" s="12">
        <f>IF(J237="","",J237-N(K237))</f>
        <v/>
      </c>
      <c r="M237" s="13">
        <f>IF(OR(A237="",B237=""),"",COUNTIFS(Paradas!$A$5:$A$1004,A237,Paradas!$B$5:$B$1004,B237))</f>
        <v/>
      </c>
      <c r="N237" s="12">
        <f>IF(OR(H237="",I237=""),"",I237-H237)</f>
        <v/>
      </c>
      <c r="O237" s="7" t="n"/>
    </row>
    <row r="238">
      <c r="A238" s="14" t="n"/>
      <c r="B238" s="7" t="n"/>
      <c r="C238" s="7" t="n"/>
      <c r="D238" s="7" t="n"/>
      <c r="E238" s="15" t="n"/>
      <c r="F238" s="15" t="n"/>
      <c r="G238" s="15" t="n"/>
      <c r="H238" s="16" t="n"/>
      <c r="I238" s="16" t="n"/>
      <c r="J238" s="12">
        <f>IF(OR(E238="",F238=""),"",ROUND((MOD(F238-E238,1)-N(G238))*24,2))</f>
        <v/>
      </c>
      <c r="K238" s="12">
        <f>IF(OR(A238="",B238=""),"",SUMIFS(Paradas!$F$5:$F$1004,Paradas!$A$5:$A$1004,A238,Paradas!$B$5:$B$1004,B238))</f>
        <v/>
      </c>
      <c r="L238" s="12">
        <f>IF(J238="","",J238-N(K238))</f>
        <v/>
      </c>
      <c r="M238" s="13">
        <f>IF(OR(A238="",B238=""),"",COUNTIFS(Paradas!$A$5:$A$1004,A238,Paradas!$B$5:$B$1004,B238))</f>
        <v/>
      </c>
      <c r="N238" s="12">
        <f>IF(OR(H238="",I238=""),"",I238-H238)</f>
        <v/>
      </c>
      <c r="O238" s="7" t="n"/>
    </row>
    <row r="239">
      <c r="A239" s="14" t="n"/>
      <c r="B239" s="7" t="n"/>
      <c r="C239" s="7" t="n"/>
      <c r="D239" s="7" t="n"/>
      <c r="E239" s="15" t="n"/>
      <c r="F239" s="15" t="n"/>
      <c r="G239" s="15" t="n"/>
      <c r="H239" s="16" t="n"/>
      <c r="I239" s="16" t="n"/>
      <c r="J239" s="12">
        <f>IF(OR(E239="",F239=""),"",ROUND((MOD(F239-E239,1)-N(G239))*24,2))</f>
        <v/>
      </c>
      <c r="K239" s="12">
        <f>IF(OR(A239="",B239=""),"",SUMIFS(Paradas!$F$5:$F$1004,Paradas!$A$5:$A$1004,A239,Paradas!$B$5:$B$1004,B239))</f>
        <v/>
      </c>
      <c r="L239" s="12">
        <f>IF(J239="","",J239-N(K239))</f>
        <v/>
      </c>
      <c r="M239" s="13">
        <f>IF(OR(A239="",B239=""),"",COUNTIFS(Paradas!$A$5:$A$1004,A239,Paradas!$B$5:$B$1004,B239))</f>
        <v/>
      </c>
      <c r="N239" s="12">
        <f>IF(OR(H239="",I239=""),"",I239-H239)</f>
        <v/>
      </c>
      <c r="O239" s="7" t="n"/>
    </row>
    <row r="240">
      <c r="A240" s="14" t="n"/>
      <c r="B240" s="7" t="n"/>
      <c r="C240" s="7" t="n"/>
      <c r="D240" s="7" t="n"/>
      <c r="E240" s="15" t="n"/>
      <c r="F240" s="15" t="n"/>
      <c r="G240" s="15" t="n"/>
      <c r="H240" s="16" t="n"/>
      <c r="I240" s="16" t="n"/>
      <c r="J240" s="12">
        <f>IF(OR(E240="",F240=""),"",ROUND((MOD(F240-E240,1)-N(G240))*24,2))</f>
        <v/>
      </c>
      <c r="K240" s="12">
        <f>IF(OR(A240="",B240=""),"",SUMIFS(Paradas!$F$5:$F$1004,Paradas!$A$5:$A$1004,A240,Paradas!$B$5:$B$1004,B240))</f>
        <v/>
      </c>
      <c r="L240" s="12">
        <f>IF(J240="","",J240-N(K240))</f>
        <v/>
      </c>
      <c r="M240" s="13">
        <f>IF(OR(A240="",B240=""),"",COUNTIFS(Paradas!$A$5:$A$1004,A240,Paradas!$B$5:$B$1004,B240))</f>
        <v/>
      </c>
      <c r="N240" s="12">
        <f>IF(OR(H240="",I240=""),"",I240-H240)</f>
        <v/>
      </c>
      <c r="O240" s="7" t="n"/>
    </row>
    <row r="241">
      <c r="A241" s="14" t="n"/>
      <c r="B241" s="7" t="n"/>
      <c r="C241" s="7" t="n"/>
      <c r="D241" s="7" t="n"/>
      <c r="E241" s="15" t="n"/>
      <c r="F241" s="15" t="n"/>
      <c r="G241" s="15" t="n"/>
      <c r="H241" s="16" t="n"/>
      <c r="I241" s="16" t="n"/>
      <c r="J241" s="12">
        <f>IF(OR(E241="",F241=""),"",ROUND((MOD(F241-E241,1)-N(G241))*24,2))</f>
        <v/>
      </c>
      <c r="K241" s="12">
        <f>IF(OR(A241="",B241=""),"",SUMIFS(Paradas!$F$5:$F$1004,Paradas!$A$5:$A$1004,A241,Paradas!$B$5:$B$1004,B241))</f>
        <v/>
      </c>
      <c r="L241" s="12">
        <f>IF(J241="","",J241-N(K241))</f>
        <v/>
      </c>
      <c r="M241" s="13">
        <f>IF(OR(A241="",B241=""),"",COUNTIFS(Paradas!$A$5:$A$1004,A241,Paradas!$B$5:$B$1004,B241))</f>
        <v/>
      </c>
      <c r="N241" s="12">
        <f>IF(OR(H241="",I241=""),"",I241-H241)</f>
        <v/>
      </c>
      <c r="O241" s="7" t="n"/>
    </row>
    <row r="242">
      <c r="A242" s="14" t="n"/>
      <c r="B242" s="7" t="n"/>
      <c r="C242" s="7" t="n"/>
      <c r="D242" s="7" t="n"/>
      <c r="E242" s="15" t="n"/>
      <c r="F242" s="15" t="n"/>
      <c r="G242" s="15" t="n"/>
      <c r="H242" s="16" t="n"/>
      <c r="I242" s="16" t="n"/>
      <c r="J242" s="12">
        <f>IF(OR(E242="",F242=""),"",ROUND((MOD(F242-E242,1)-N(G242))*24,2))</f>
        <v/>
      </c>
      <c r="K242" s="12">
        <f>IF(OR(A242="",B242=""),"",SUMIFS(Paradas!$F$5:$F$1004,Paradas!$A$5:$A$1004,A242,Paradas!$B$5:$B$1004,B242))</f>
        <v/>
      </c>
      <c r="L242" s="12">
        <f>IF(J242="","",J242-N(K242))</f>
        <v/>
      </c>
      <c r="M242" s="13">
        <f>IF(OR(A242="",B242=""),"",COUNTIFS(Paradas!$A$5:$A$1004,A242,Paradas!$B$5:$B$1004,B242))</f>
        <v/>
      </c>
      <c r="N242" s="12">
        <f>IF(OR(H242="",I242=""),"",I242-H242)</f>
        <v/>
      </c>
      <c r="O242" s="7" t="n"/>
    </row>
    <row r="243">
      <c r="A243" s="14" t="n"/>
      <c r="B243" s="7" t="n"/>
      <c r="C243" s="7" t="n"/>
      <c r="D243" s="7" t="n"/>
      <c r="E243" s="15" t="n"/>
      <c r="F243" s="15" t="n"/>
      <c r="G243" s="15" t="n"/>
      <c r="H243" s="16" t="n"/>
      <c r="I243" s="16" t="n"/>
      <c r="J243" s="12">
        <f>IF(OR(E243="",F243=""),"",ROUND((MOD(F243-E243,1)-N(G243))*24,2))</f>
        <v/>
      </c>
      <c r="K243" s="12">
        <f>IF(OR(A243="",B243=""),"",SUMIFS(Paradas!$F$5:$F$1004,Paradas!$A$5:$A$1004,A243,Paradas!$B$5:$B$1004,B243))</f>
        <v/>
      </c>
      <c r="L243" s="12">
        <f>IF(J243="","",J243-N(K243))</f>
        <v/>
      </c>
      <c r="M243" s="13">
        <f>IF(OR(A243="",B243=""),"",COUNTIFS(Paradas!$A$5:$A$1004,A243,Paradas!$B$5:$B$1004,B243))</f>
        <v/>
      </c>
      <c r="N243" s="12">
        <f>IF(OR(H243="",I243=""),"",I243-H243)</f>
        <v/>
      </c>
      <c r="O243" s="7" t="n"/>
    </row>
    <row r="244">
      <c r="A244" s="14" t="n"/>
      <c r="B244" s="7" t="n"/>
      <c r="C244" s="7" t="n"/>
      <c r="D244" s="7" t="n"/>
      <c r="E244" s="15" t="n"/>
      <c r="F244" s="15" t="n"/>
      <c r="G244" s="15" t="n"/>
      <c r="H244" s="16" t="n"/>
      <c r="I244" s="16" t="n"/>
      <c r="J244" s="12">
        <f>IF(OR(E244="",F244=""),"",ROUND((MOD(F244-E244,1)-N(G244))*24,2))</f>
        <v/>
      </c>
      <c r="K244" s="12">
        <f>IF(OR(A244="",B244=""),"",SUMIFS(Paradas!$F$5:$F$1004,Paradas!$A$5:$A$1004,A244,Paradas!$B$5:$B$1004,B244))</f>
        <v/>
      </c>
      <c r="L244" s="12">
        <f>IF(J244="","",J244-N(K244))</f>
        <v/>
      </c>
      <c r="M244" s="13">
        <f>IF(OR(A244="",B244=""),"",COUNTIFS(Paradas!$A$5:$A$1004,A244,Paradas!$B$5:$B$1004,B244))</f>
        <v/>
      </c>
      <c r="N244" s="12">
        <f>IF(OR(H244="",I244=""),"",I244-H244)</f>
        <v/>
      </c>
      <c r="O244" s="7" t="n"/>
    </row>
    <row r="245">
      <c r="A245" s="14" t="n"/>
      <c r="B245" s="7" t="n"/>
      <c r="C245" s="7" t="n"/>
      <c r="D245" s="7" t="n"/>
      <c r="E245" s="15" t="n"/>
      <c r="F245" s="15" t="n"/>
      <c r="G245" s="15" t="n"/>
      <c r="H245" s="16" t="n"/>
      <c r="I245" s="16" t="n"/>
      <c r="J245" s="12">
        <f>IF(OR(E245="",F245=""),"",ROUND((MOD(F245-E245,1)-N(G245))*24,2))</f>
        <v/>
      </c>
      <c r="K245" s="12">
        <f>IF(OR(A245="",B245=""),"",SUMIFS(Paradas!$F$5:$F$1004,Paradas!$A$5:$A$1004,A245,Paradas!$B$5:$B$1004,B245))</f>
        <v/>
      </c>
      <c r="L245" s="12">
        <f>IF(J245="","",J245-N(K245))</f>
        <v/>
      </c>
      <c r="M245" s="13">
        <f>IF(OR(A245="",B245=""),"",COUNTIFS(Paradas!$A$5:$A$1004,A245,Paradas!$B$5:$B$1004,B245))</f>
        <v/>
      </c>
      <c r="N245" s="12">
        <f>IF(OR(H245="",I245=""),"",I245-H245)</f>
        <v/>
      </c>
      <c r="O245" s="7" t="n"/>
    </row>
    <row r="246">
      <c r="A246" s="14" t="n"/>
      <c r="B246" s="7" t="n"/>
      <c r="C246" s="7" t="n"/>
      <c r="D246" s="7" t="n"/>
      <c r="E246" s="15" t="n"/>
      <c r="F246" s="15" t="n"/>
      <c r="G246" s="15" t="n"/>
      <c r="H246" s="16" t="n"/>
      <c r="I246" s="16" t="n"/>
      <c r="J246" s="12">
        <f>IF(OR(E246="",F246=""),"",ROUND((MOD(F246-E246,1)-N(G246))*24,2))</f>
        <v/>
      </c>
      <c r="K246" s="12">
        <f>IF(OR(A246="",B246=""),"",SUMIFS(Paradas!$F$5:$F$1004,Paradas!$A$5:$A$1004,A246,Paradas!$B$5:$B$1004,B246))</f>
        <v/>
      </c>
      <c r="L246" s="12">
        <f>IF(J246="","",J246-N(K246))</f>
        <v/>
      </c>
      <c r="M246" s="13">
        <f>IF(OR(A246="",B246=""),"",COUNTIFS(Paradas!$A$5:$A$1004,A246,Paradas!$B$5:$B$1004,B246))</f>
        <v/>
      </c>
      <c r="N246" s="12">
        <f>IF(OR(H246="",I246=""),"",I246-H246)</f>
        <v/>
      </c>
      <c r="O246" s="7" t="n"/>
    </row>
    <row r="247">
      <c r="A247" s="14" t="n"/>
      <c r="B247" s="7" t="n"/>
      <c r="C247" s="7" t="n"/>
      <c r="D247" s="7" t="n"/>
      <c r="E247" s="15" t="n"/>
      <c r="F247" s="15" t="n"/>
      <c r="G247" s="15" t="n"/>
      <c r="H247" s="16" t="n"/>
      <c r="I247" s="16" t="n"/>
      <c r="J247" s="12">
        <f>IF(OR(E247="",F247=""),"",ROUND((MOD(F247-E247,1)-N(G247))*24,2))</f>
        <v/>
      </c>
      <c r="K247" s="12">
        <f>IF(OR(A247="",B247=""),"",SUMIFS(Paradas!$F$5:$F$1004,Paradas!$A$5:$A$1004,A247,Paradas!$B$5:$B$1004,B247))</f>
        <v/>
      </c>
      <c r="L247" s="12">
        <f>IF(J247="","",J247-N(K247))</f>
        <v/>
      </c>
      <c r="M247" s="13">
        <f>IF(OR(A247="",B247=""),"",COUNTIFS(Paradas!$A$5:$A$1004,A247,Paradas!$B$5:$B$1004,B247))</f>
        <v/>
      </c>
      <c r="N247" s="12">
        <f>IF(OR(H247="",I247=""),"",I247-H247)</f>
        <v/>
      </c>
      <c r="O247" s="7" t="n"/>
    </row>
    <row r="248">
      <c r="A248" s="14" t="n"/>
      <c r="B248" s="7" t="n"/>
      <c r="C248" s="7" t="n"/>
      <c r="D248" s="7" t="n"/>
      <c r="E248" s="15" t="n"/>
      <c r="F248" s="15" t="n"/>
      <c r="G248" s="15" t="n"/>
      <c r="H248" s="16" t="n"/>
      <c r="I248" s="16" t="n"/>
      <c r="J248" s="12">
        <f>IF(OR(E248="",F248=""),"",ROUND((MOD(F248-E248,1)-N(G248))*24,2))</f>
        <v/>
      </c>
      <c r="K248" s="12">
        <f>IF(OR(A248="",B248=""),"",SUMIFS(Paradas!$F$5:$F$1004,Paradas!$A$5:$A$1004,A248,Paradas!$B$5:$B$1004,B248))</f>
        <v/>
      </c>
      <c r="L248" s="12">
        <f>IF(J248="","",J248-N(K248))</f>
        <v/>
      </c>
      <c r="M248" s="13">
        <f>IF(OR(A248="",B248=""),"",COUNTIFS(Paradas!$A$5:$A$1004,A248,Paradas!$B$5:$B$1004,B248))</f>
        <v/>
      </c>
      <c r="N248" s="12">
        <f>IF(OR(H248="",I248=""),"",I248-H248)</f>
        <v/>
      </c>
      <c r="O248" s="7" t="n"/>
    </row>
    <row r="249">
      <c r="A249" s="14" t="n"/>
      <c r="B249" s="7" t="n"/>
      <c r="C249" s="7" t="n"/>
      <c r="D249" s="7" t="n"/>
      <c r="E249" s="15" t="n"/>
      <c r="F249" s="15" t="n"/>
      <c r="G249" s="15" t="n"/>
      <c r="H249" s="16" t="n"/>
      <c r="I249" s="16" t="n"/>
      <c r="J249" s="12">
        <f>IF(OR(E249="",F249=""),"",ROUND((MOD(F249-E249,1)-N(G249))*24,2))</f>
        <v/>
      </c>
      <c r="K249" s="12">
        <f>IF(OR(A249="",B249=""),"",SUMIFS(Paradas!$F$5:$F$1004,Paradas!$A$5:$A$1004,A249,Paradas!$B$5:$B$1004,B249))</f>
        <v/>
      </c>
      <c r="L249" s="12">
        <f>IF(J249="","",J249-N(K249))</f>
        <v/>
      </c>
      <c r="M249" s="13">
        <f>IF(OR(A249="",B249=""),"",COUNTIFS(Paradas!$A$5:$A$1004,A249,Paradas!$B$5:$B$1004,B249))</f>
        <v/>
      </c>
      <c r="N249" s="12">
        <f>IF(OR(H249="",I249=""),"",I249-H249)</f>
        <v/>
      </c>
      <c r="O249" s="7" t="n"/>
    </row>
    <row r="250">
      <c r="A250" s="14" t="n"/>
      <c r="B250" s="7" t="n"/>
      <c r="C250" s="7" t="n"/>
      <c r="D250" s="7" t="n"/>
      <c r="E250" s="15" t="n"/>
      <c r="F250" s="15" t="n"/>
      <c r="G250" s="15" t="n"/>
      <c r="H250" s="16" t="n"/>
      <c r="I250" s="16" t="n"/>
      <c r="J250" s="12">
        <f>IF(OR(E250="",F250=""),"",ROUND((MOD(F250-E250,1)-N(G250))*24,2))</f>
        <v/>
      </c>
      <c r="K250" s="12">
        <f>IF(OR(A250="",B250=""),"",SUMIFS(Paradas!$F$5:$F$1004,Paradas!$A$5:$A$1004,A250,Paradas!$B$5:$B$1004,B250))</f>
        <v/>
      </c>
      <c r="L250" s="12">
        <f>IF(J250="","",J250-N(K250))</f>
        <v/>
      </c>
      <c r="M250" s="13">
        <f>IF(OR(A250="",B250=""),"",COUNTIFS(Paradas!$A$5:$A$1004,A250,Paradas!$B$5:$B$1004,B250))</f>
        <v/>
      </c>
      <c r="N250" s="12">
        <f>IF(OR(H250="",I250=""),"",I250-H250)</f>
        <v/>
      </c>
      <c r="O250" s="7" t="n"/>
    </row>
    <row r="251">
      <c r="A251" s="14" t="n"/>
      <c r="B251" s="7" t="n"/>
      <c r="C251" s="7" t="n"/>
      <c r="D251" s="7" t="n"/>
      <c r="E251" s="15" t="n"/>
      <c r="F251" s="15" t="n"/>
      <c r="G251" s="15" t="n"/>
      <c r="H251" s="16" t="n"/>
      <c r="I251" s="16" t="n"/>
      <c r="J251" s="12">
        <f>IF(OR(E251="",F251=""),"",ROUND((MOD(F251-E251,1)-N(G251))*24,2))</f>
        <v/>
      </c>
      <c r="K251" s="12">
        <f>IF(OR(A251="",B251=""),"",SUMIFS(Paradas!$F$5:$F$1004,Paradas!$A$5:$A$1004,A251,Paradas!$B$5:$B$1004,B251))</f>
        <v/>
      </c>
      <c r="L251" s="12">
        <f>IF(J251="","",J251-N(K251))</f>
        <v/>
      </c>
      <c r="M251" s="13">
        <f>IF(OR(A251="",B251=""),"",COUNTIFS(Paradas!$A$5:$A$1004,A251,Paradas!$B$5:$B$1004,B251))</f>
        <v/>
      </c>
      <c r="N251" s="12">
        <f>IF(OR(H251="",I251=""),"",I251-H251)</f>
        <v/>
      </c>
      <c r="O251" s="7" t="n"/>
    </row>
    <row r="252">
      <c r="A252" s="14" t="n"/>
      <c r="B252" s="7" t="n"/>
      <c r="C252" s="7" t="n"/>
      <c r="D252" s="7" t="n"/>
      <c r="E252" s="15" t="n"/>
      <c r="F252" s="15" t="n"/>
      <c r="G252" s="15" t="n"/>
      <c r="H252" s="16" t="n"/>
      <c r="I252" s="16" t="n"/>
      <c r="J252" s="12">
        <f>IF(OR(E252="",F252=""),"",ROUND((MOD(F252-E252,1)-N(G252))*24,2))</f>
        <v/>
      </c>
      <c r="K252" s="12">
        <f>IF(OR(A252="",B252=""),"",SUMIFS(Paradas!$F$5:$F$1004,Paradas!$A$5:$A$1004,A252,Paradas!$B$5:$B$1004,B252))</f>
        <v/>
      </c>
      <c r="L252" s="12">
        <f>IF(J252="","",J252-N(K252))</f>
        <v/>
      </c>
      <c r="M252" s="13">
        <f>IF(OR(A252="",B252=""),"",COUNTIFS(Paradas!$A$5:$A$1004,A252,Paradas!$B$5:$B$1004,B252))</f>
        <v/>
      </c>
      <c r="N252" s="12">
        <f>IF(OR(H252="",I252=""),"",I252-H252)</f>
        <v/>
      </c>
      <c r="O252" s="7" t="n"/>
    </row>
    <row r="253">
      <c r="A253" s="14" t="n"/>
      <c r="B253" s="7" t="n"/>
      <c r="C253" s="7" t="n"/>
      <c r="D253" s="7" t="n"/>
      <c r="E253" s="15" t="n"/>
      <c r="F253" s="15" t="n"/>
      <c r="G253" s="15" t="n"/>
      <c r="H253" s="16" t="n"/>
      <c r="I253" s="16" t="n"/>
      <c r="J253" s="12">
        <f>IF(OR(E253="",F253=""),"",ROUND((MOD(F253-E253,1)-N(G253))*24,2))</f>
        <v/>
      </c>
      <c r="K253" s="12">
        <f>IF(OR(A253="",B253=""),"",SUMIFS(Paradas!$F$5:$F$1004,Paradas!$A$5:$A$1004,A253,Paradas!$B$5:$B$1004,B253))</f>
        <v/>
      </c>
      <c r="L253" s="12">
        <f>IF(J253="","",J253-N(K253))</f>
        <v/>
      </c>
      <c r="M253" s="13">
        <f>IF(OR(A253="",B253=""),"",COUNTIFS(Paradas!$A$5:$A$1004,A253,Paradas!$B$5:$B$1004,B253))</f>
        <v/>
      </c>
      <c r="N253" s="12">
        <f>IF(OR(H253="",I253=""),"",I253-H253)</f>
        <v/>
      </c>
      <c r="O253" s="7" t="n"/>
    </row>
    <row r="254">
      <c r="A254" s="14" t="n"/>
      <c r="B254" s="7" t="n"/>
      <c r="C254" s="7" t="n"/>
      <c r="D254" s="7" t="n"/>
      <c r="E254" s="15" t="n"/>
      <c r="F254" s="15" t="n"/>
      <c r="G254" s="15" t="n"/>
      <c r="H254" s="16" t="n"/>
      <c r="I254" s="16" t="n"/>
      <c r="J254" s="12">
        <f>IF(OR(E254="",F254=""),"",ROUND((MOD(F254-E254,1)-N(G254))*24,2))</f>
        <v/>
      </c>
      <c r="K254" s="12">
        <f>IF(OR(A254="",B254=""),"",SUMIFS(Paradas!$F$5:$F$1004,Paradas!$A$5:$A$1004,A254,Paradas!$B$5:$B$1004,B254))</f>
        <v/>
      </c>
      <c r="L254" s="12">
        <f>IF(J254="","",J254-N(K254))</f>
        <v/>
      </c>
      <c r="M254" s="13">
        <f>IF(OR(A254="",B254=""),"",COUNTIFS(Paradas!$A$5:$A$1004,A254,Paradas!$B$5:$B$1004,B254))</f>
        <v/>
      </c>
      <c r="N254" s="12">
        <f>IF(OR(H254="",I254=""),"",I254-H254)</f>
        <v/>
      </c>
      <c r="O254" s="7" t="n"/>
    </row>
    <row r="255">
      <c r="A255" s="14" t="n"/>
      <c r="B255" s="7" t="n"/>
      <c r="C255" s="7" t="n"/>
      <c r="D255" s="7" t="n"/>
      <c r="E255" s="15" t="n"/>
      <c r="F255" s="15" t="n"/>
      <c r="G255" s="15" t="n"/>
      <c r="H255" s="16" t="n"/>
      <c r="I255" s="16" t="n"/>
      <c r="J255" s="12">
        <f>IF(OR(E255="",F255=""),"",ROUND((MOD(F255-E255,1)-N(G255))*24,2))</f>
        <v/>
      </c>
      <c r="K255" s="12">
        <f>IF(OR(A255="",B255=""),"",SUMIFS(Paradas!$F$5:$F$1004,Paradas!$A$5:$A$1004,A255,Paradas!$B$5:$B$1004,B255))</f>
        <v/>
      </c>
      <c r="L255" s="12">
        <f>IF(J255="","",J255-N(K255))</f>
        <v/>
      </c>
      <c r="M255" s="13">
        <f>IF(OR(A255="",B255=""),"",COUNTIFS(Paradas!$A$5:$A$1004,A255,Paradas!$B$5:$B$1004,B255))</f>
        <v/>
      </c>
      <c r="N255" s="12">
        <f>IF(OR(H255="",I255=""),"",I255-H255)</f>
        <v/>
      </c>
      <c r="O255" s="7" t="n"/>
    </row>
    <row r="256">
      <c r="A256" s="14" t="n"/>
      <c r="B256" s="7" t="n"/>
      <c r="C256" s="7" t="n"/>
      <c r="D256" s="7" t="n"/>
      <c r="E256" s="15" t="n"/>
      <c r="F256" s="15" t="n"/>
      <c r="G256" s="15" t="n"/>
      <c r="H256" s="16" t="n"/>
      <c r="I256" s="16" t="n"/>
      <c r="J256" s="12">
        <f>IF(OR(E256="",F256=""),"",ROUND((MOD(F256-E256,1)-N(G256))*24,2))</f>
        <v/>
      </c>
      <c r="K256" s="12">
        <f>IF(OR(A256="",B256=""),"",SUMIFS(Paradas!$F$5:$F$1004,Paradas!$A$5:$A$1004,A256,Paradas!$B$5:$B$1004,B256))</f>
        <v/>
      </c>
      <c r="L256" s="12">
        <f>IF(J256="","",J256-N(K256))</f>
        <v/>
      </c>
      <c r="M256" s="13">
        <f>IF(OR(A256="",B256=""),"",COUNTIFS(Paradas!$A$5:$A$1004,A256,Paradas!$B$5:$B$1004,B256))</f>
        <v/>
      </c>
      <c r="N256" s="12">
        <f>IF(OR(H256="",I256=""),"",I256-H256)</f>
        <v/>
      </c>
      <c r="O256" s="7" t="n"/>
    </row>
    <row r="257">
      <c r="A257" s="14" t="n"/>
      <c r="B257" s="7" t="n"/>
      <c r="C257" s="7" t="n"/>
      <c r="D257" s="7" t="n"/>
      <c r="E257" s="15" t="n"/>
      <c r="F257" s="15" t="n"/>
      <c r="G257" s="15" t="n"/>
      <c r="H257" s="16" t="n"/>
      <c r="I257" s="16" t="n"/>
      <c r="J257" s="12">
        <f>IF(OR(E257="",F257=""),"",ROUND((MOD(F257-E257,1)-N(G257))*24,2))</f>
        <v/>
      </c>
      <c r="K257" s="12">
        <f>IF(OR(A257="",B257=""),"",SUMIFS(Paradas!$F$5:$F$1004,Paradas!$A$5:$A$1004,A257,Paradas!$B$5:$B$1004,B257))</f>
        <v/>
      </c>
      <c r="L257" s="12">
        <f>IF(J257="","",J257-N(K257))</f>
        <v/>
      </c>
      <c r="M257" s="13">
        <f>IF(OR(A257="",B257=""),"",COUNTIFS(Paradas!$A$5:$A$1004,A257,Paradas!$B$5:$B$1004,B257))</f>
        <v/>
      </c>
      <c r="N257" s="12">
        <f>IF(OR(H257="",I257=""),"",I257-H257)</f>
        <v/>
      </c>
      <c r="O257" s="7" t="n"/>
    </row>
    <row r="258">
      <c r="A258" s="14" t="n"/>
      <c r="B258" s="7" t="n"/>
      <c r="C258" s="7" t="n"/>
      <c r="D258" s="7" t="n"/>
      <c r="E258" s="15" t="n"/>
      <c r="F258" s="15" t="n"/>
      <c r="G258" s="15" t="n"/>
      <c r="H258" s="16" t="n"/>
      <c r="I258" s="16" t="n"/>
      <c r="J258" s="12">
        <f>IF(OR(E258="",F258=""),"",ROUND((MOD(F258-E258,1)-N(G258))*24,2))</f>
        <v/>
      </c>
      <c r="K258" s="12">
        <f>IF(OR(A258="",B258=""),"",SUMIFS(Paradas!$F$5:$F$1004,Paradas!$A$5:$A$1004,A258,Paradas!$B$5:$B$1004,B258))</f>
        <v/>
      </c>
      <c r="L258" s="12">
        <f>IF(J258="","",J258-N(K258))</f>
        <v/>
      </c>
      <c r="M258" s="13">
        <f>IF(OR(A258="",B258=""),"",COUNTIFS(Paradas!$A$5:$A$1004,A258,Paradas!$B$5:$B$1004,B258))</f>
        <v/>
      </c>
      <c r="N258" s="12">
        <f>IF(OR(H258="",I258=""),"",I258-H258)</f>
        <v/>
      </c>
      <c r="O258" s="7" t="n"/>
    </row>
    <row r="259">
      <c r="A259" s="14" t="n"/>
      <c r="B259" s="7" t="n"/>
      <c r="C259" s="7" t="n"/>
      <c r="D259" s="7" t="n"/>
      <c r="E259" s="15" t="n"/>
      <c r="F259" s="15" t="n"/>
      <c r="G259" s="15" t="n"/>
      <c r="H259" s="16" t="n"/>
      <c r="I259" s="16" t="n"/>
      <c r="J259" s="12">
        <f>IF(OR(E259="",F259=""),"",ROUND((MOD(F259-E259,1)-N(G259))*24,2))</f>
        <v/>
      </c>
      <c r="K259" s="12">
        <f>IF(OR(A259="",B259=""),"",SUMIFS(Paradas!$F$5:$F$1004,Paradas!$A$5:$A$1004,A259,Paradas!$B$5:$B$1004,B259))</f>
        <v/>
      </c>
      <c r="L259" s="12">
        <f>IF(J259="","",J259-N(K259))</f>
        <v/>
      </c>
      <c r="M259" s="13">
        <f>IF(OR(A259="",B259=""),"",COUNTIFS(Paradas!$A$5:$A$1004,A259,Paradas!$B$5:$B$1004,B259))</f>
        <v/>
      </c>
      <c r="N259" s="12">
        <f>IF(OR(H259="",I259=""),"",I259-H259)</f>
        <v/>
      </c>
      <c r="O259" s="7" t="n"/>
    </row>
    <row r="260">
      <c r="A260" s="14" t="n"/>
      <c r="B260" s="7" t="n"/>
      <c r="C260" s="7" t="n"/>
      <c r="D260" s="7" t="n"/>
      <c r="E260" s="15" t="n"/>
      <c r="F260" s="15" t="n"/>
      <c r="G260" s="15" t="n"/>
      <c r="H260" s="16" t="n"/>
      <c r="I260" s="16" t="n"/>
      <c r="J260" s="12">
        <f>IF(OR(E260="",F260=""),"",ROUND((MOD(F260-E260,1)-N(G260))*24,2))</f>
        <v/>
      </c>
      <c r="K260" s="12">
        <f>IF(OR(A260="",B260=""),"",SUMIFS(Paradas!$F$5:$F$1004,Paradas!$A$5:$A$1004,A260,Paradas!$B$5:$B$1004,B260))</f>
        <v/>
      </c>
      <c r="L260" s="12">
        <f>IF(J260="","",J260-N(K260))</f>
        <v/>
      </c>
      <c r="M260" s="13">
        <f>IF(OR(A260="",B260=""),"",COUNTIFS(Paradas!$A$5:$A$1004,A260,Paradas!$B$5:$B$1004,B260))</f>
        <v/>
      </c>
      <c r="N260" s="12">
        <f>IF(OR(H260="",I260=""),"",I260-H260)</f>
        <v/>
      </c>
      <c r="O260" s="7" t="n"/>
    </row>
    <row r="261">
      <c r="A261" s="14" t="n"/>
      <c r="B261" s="7" t="n"/>
      <c r="C261" s="7" t="n"/>
      <c r="D261" s="7" t="n"/>
      <c r="E261" s="15" t="n"/>
      <c r="F261" s="15" t="n"/>
      <c r="G261" s="15" t="n"/>
      <c r="H261" s="16" t="n"/>
      <c r="I261" s="16" t="n"/>
      <c r="J261" s="12">
        <f>IF(OR(E261="",F261=""),"",ROUND((MOD(F261-E261,1)-N(G261))*24,2))</f>
        <v/>
      </c>
      <c r="K261" s="12">
        <f>IF(OR(A261="",B261=""),"",SUMIFS(Paradas!$F$5:$F$1004,Paradas!$A$5:$A$1004,A261,Paradas!$B$5:$B$1004,B261))</f>
        <v/>
      </c>
      <c r="L261" s="12">
        <f>IF(J261="","",J261-N(K261))</f>
        <v/>
      </c>
      <c r="M261" s="13">
        <f>IF(OR(A261="",B261=""),"",COUNTIFS(Paradas!$A$5:$A$1004,A261,Paradas!$B$5:$B$1004,B261))</f>
        <v/>
      </c>
      <c r="N261" s="12">
        <f>IF(OR(H261="",I261=""),"",I261-H261)</f>
        <v/>
      </c>
      <c r="O261" s="7" t="n"/>
    </row>
    <row r="262">
      <c r="A262" s="14" t="n"/>
      <c r="B262" s="7" t="n"/>
      <c r="C262" s="7" t="n"/>
      <c r="D262" s="7" t="n"/>
      <c r="E262" s="15" t="n"/>
      <c r="F262" s="15" t="n"/>
      <c r="G262" s="15" t="n"/>
      <c r="H262" s="16" t="n"/>
      <c r="I262" s="16" t="n"/>
      <c r="J262" s="12">
        <f>IF(OR(E262="",F262=""),"",ROUND((MOD(F262-E262,1)-N(G262))*24,2))</f>
        <v/>
      </c>
      <c r="K262" s="12">
        <f>IF(OR(A262="",B262=""),"",SUMIFS(Paradas!$F$5:$F$1004,Paradas!$A$5:$A$1004,A262,Paradas!$B$5:$B$1004,B262))</f>
        <v/>
      </c>
      <c r="L262" s="12">
        <f>IF(J262="","",J262-N(K262))</f>
        <v/>
      </c>
      <c r="M262" s="13">
        <f>IF(OR(A262="",B262=""),"",COUNTIFS(Paradas!$A$5:$A$1004,A262,Paradas!$B$5:$B$1004,B262))</f>
        <v/>
      </c>
      <c r="N262" s="12">
        <f>IF(OR(H262="",I262=""),"",I262-H262)</f>
        <v/>
      </c>
      <c r="O262" s="7" t="n"/>
    </row>
    <row r="263">
      <c r="A263" s="14" t="n"/>
      <c r="B263" s="7" t="n"/>
      <c r="C263" s="7" t="n"/>
      <c r="D263" s="7" t="n"/>
      <c r="E263" s="15" t="n"/>
      <c r="F263" s="15" t="n"/>
      <c r="G263" s="15" t="n"/>
      <c r="H263" s="16" t="n"/>
      <c r="I263" s="16" t="n"/>
      <c r="J263" s="12">
        <f>IF(OR(E263="",F263=""),"",ROUND((MOD(F263-E263,1)-N(G263))*24,2))</f>
        <v/>
      </c>
      <c r="K263" s="12">
        <f>IF(OR(A263="",B263=""),"",SUMIFS(Paradas!$F$5:$F$1004,Paradas!$A$5:$A$1004,A263,Paradas!$B$5:$B$1004,B263))</f>
        <v/>
      </c>
      <c r="L263" s="12">
        <f>IF(J263="","",J263-N(K263))</f>
        <v/>
      </c>
      <c r="M263" s="13">
        <f>IF(OR(A263="",B263=""),"",COUNTIFS(Paradas!$A$5:$A$1004,A263,Paradas!$B$5:$B$1004,B263))</f>
        <v/>
      </c>
      <c r="N263" s="12">
        <f>IF(OR(H263="",I263=""),"",I263-H263)</f>
        <v/>
      </c>
      <c r="O263" s="7" t="n"/>
    </row>
    <row r="264">
      <c r="A264" s="14" t="n"/>
      <c r="B264" s="7" t="n"/>
      <c r="C264" s="7" t="n"/>
      <c r="D264" s="7" t="n"/>
      <c r="E264" s="15" t="n"/>
      <c r="F264" s="15" t="n"/>
      <c r="G264" s="15" t="n"/>
      <c r="H264" s="16" t="n"/>
      <c r="I264" s="16" t="n"/>
      <c r="J264" s="12">
        <f>IF(OR(E264="",F264=""),"",ROUND((MOD(F264-E264,1)-N(G264))*24,2))</f>
        <v/>
      </c>
      <c r="K264" s="12">
        <f>IF(OR(A264="",B264=""),"",SUMIFS(Paradas!$F$5:$F$1004,Paradas!$A$5:$A$1004,A264,Paradas!$B$5:$B$1004,B264))</f>
        <v/>
      </c>
      <c r="L264" s="12">
        <f>IF(J264="","",J264-N(K264))</f>
        <v/>
      </c>
      <c r="M264" s="13">
        <f>IF(OR(A264="",B264=""),"",COUNTIFS(Paradas!$A$5:$A$1004,A264,Paradas!$B$5:$B$1004,B264))</f>
        <v/>
      </c>
      <c r="N264" s="12">
        <f>IF(OR(H264="",I264=""),"",I264-H264)</f>
        <v/>
      </c>
      <c r="O264" s="7" t="n"/>
    </row>
    <row r="265">
      <c r="A265" s="14" t="n"/>
      <c r="B265" s="7" t="n"/>
      <c r="C265" s="7" t="n"/>
      <c r="D265" s="7" t="n"/>
      <c r="E265" s="15" t="n"/>
      <c r="F265" s="15" t="n"/>
      <c r="G265" s="15" t="n"/>
      <c r="H265" s="16" t="n"/>
      <c r="I265" s="16" t="n"/>
      <c r="J265" s="12">
        <f>IF(OR(E265="",F265=""),"",ROUND((MOD(F265-E265,1)-N(G265))*24,2))</f>
        <v/>
      </c>
      <c r="K265" s="12">
        <f>IF(OR(A265="",B265=""),"",SUMIFS(Paradas!$F$5:$F$1004,Paradas!$A$5:$A$1004,A265,Paradas!$B$5:$B$1004,B265))</f>
        <v/>
      </c>
      <c r="L265" s="12">
        <f>IF(J265="","",J265-N(K265))</f>
        <v/>
      </c>
      <c r="M265" s="13">
        <f>IF(OR(A265="",B265=""),"",COUNTIFS(Paradas!$A$5:$A$1004,A265,Paradas!$B$5:$B$1004,B265))</f>
        <v/>
      </c>
      <c r="N265" s="12">
        <f>IF(OR(H265="",I265=""),"",I265-H265)</f>
        <v/>
      </c>
      <c r="O265" s="7" t="n"/>
    </row>
    <row r="266">
      <c r="A266" s="14" t="n"/>
      <c r="B266" s="7" t="n"/>
      <c r="C266" s="7" t="n"/>
      <c r="D266" s="7" t="n"/>
      <c r="E266" s="15" t="n"/>
      <c r="F266" s="15" t="n"/>
      <c r="G266" s="15" t="n"/>
      <c r="H266" s="16" t="n"/>
      <c r="I266" s="16" t="n"/>
      <c r="J266" s="12">
        <f>IF(OR(E266="",F266=""),"",ROUND((MOD(F266-E266,1)-N(G266))*24,2))</f>
        <v/>
      </c>
      <c r="K266" s="12">
        <f>IF(OR(A266="",B266=""),"",SUMIFS(Paradas!$F$5:$F$1004,Paradas!$A$5:$A$1004,A266,Paradas!$B$5:$B$1004,B266))</f>
        <v/>
      </c>
      <c r="L266" s="12">
        <f>IF(J266="","",J266-N(K266))</f>
        <v/>
      </c>
      <c r="M266" s="13">
        <f>IF(OR(A266="",B266=""),"",COUNTIFS(Paradas!$A$5:$A$1004,A266,Paradas!$B$5:$B$1004,B266))</f>
        <v/>
      </c>
      <c r="N266" s="12">
        <f>IF(OR(H266="",I266=""),"",I266-H266)</f>
        <v/>
      </c>
      <c r="O266" s="7" t="n"/>
    </row>
    <row r="267">
      <c r="A267" s="14" t="n"/>
      <c r="B267" s="7" t="n"/>
      <c r="C267" s="7" t="n"/>
      <c r="D267" s="7" t="n"/>
      <c r="E267" s="15" t="n"/>
      <c r="F267" s="15" t="n"/>
      <c r="G267" s="15" t="n"/>
      <c r="H267" s="16" t="n"/>
      <c r="I267" s="16" t="n"/>
      <c r="J267" s="12">
        <f>IF(OR(E267="",F267=""),"",ROUND((MOD(F267-E267,1)-N(G267))*24,2))</f>
        <v/>
      </c>
      <c r="K267" s="12">
        <f>IF(OR(A267="",B267=""),"",SUMIFS(Paradas!$F$5:$F$1004,Paradas!$A$5:$A$1004,A267,Paradas!$B$5:$B$1004,B267))</f>
        <v/>
      </c>
      <c r="L267" s="12">
        <f>IF(J267="","",J267-N(K267))</f>
        <v/>
      </c>
      <c r="M267" s="13">
        <f>IF(OR(A267="",B267=""),"",COUNTIFS(Paradas!$A$5:$A$1004,A267,Paradas!$B$5:$B$1004,B267))</f>
        <v/>
      </c>
      <c r="N267" s="12">
        <f>IF(OR(H267="",I267=""),"",I267-H267)</f>
        <v/>
      </c>
      <c r="O267" s="7" t="n"/>
    </row>
    <row r="268">
      <c r="A268" s="14" t="n"/>
      <c r="B268" s="7" t="n"/>
      <c r="C268" s="7" t="n"/>
      <c r="D268" s="7" t="n"/>
      <c r="E268" s="15" t="n"/>
      <c r="F268" s="15" t="n"/>
      <c r="G268" s="15" t="n"/>
      <c r="H268" s="16" t="n"/>
      <c r="I268" s="16" t="n"/>
      <c r="J268" s="12">
        <f>IF(OR(E268="",F268=""),"",ROUND((MOD(F268-E268,1)-N(G268))*24,2))</f>
        <v/>
      </c>
      <c r="K268" s="12">
        <f>IF(OR(A268="",B268=""),"",SUMIFS(Paradas!$F$5:$F$1004,Paradas!$A$5:$A$1004,A268,Paradas!$B$5:$B$1004,B268))</f>
        <v/>
      </c>
      <c r="L268" s="12">
        <f>IF(J268="","",J268-N(K268))</f>
        <v/>
      </c>
      <c r="M268" s="13">
        <f>IF(OR(A268="",B268=""),"",COUNTIFS(Paradas!$A$5:$A$1004,A268,Paradas!$B$5:$B$1004,B268))</f>
        <v/>
      </c>
      <c r="N268" s="12">
        <f>IF(OR(H268="",I268=""),"",I268-H268)</f>
        <v/>
      </c>
      <c r="O268" s="7" t="n"/>
    </row>
    <row r="269">
      <c r="A269" s="14" t="n"/>
      <c r="B269" s="7" t="n"/>
      <c r="C269" s="7" t="n"/>
      <c r="D269" s="7" t="n"/>
      <c r="E269" s="15" t="n"/>
      <c r="F269" s="15" t="n"/>
      <c r="G269" s="15" t="n"/>
      <c r="H269" s="16" t="n"/>
      <c r="I269" s="16" t="n"/>
      <c r="J269" s="12">
        <f>IF(OR(E269="",F269=""),"",ROUND((MOD(F269-E269,1)-N(G269))*24,2))</f>
        <v/>
      </c>
      <c r="K269" s="12">
        <f>IF(OR(A269="",B269=""),"",SUMIFS(Paradas!$F$5:$F$1004,Paradas!$A$5:$A$1004,A269,Paradas!$B$5:$B$1004,B269))</f>
        <v/>
      </c>
      <c r="L269" s="12">
        <f>IF(J269="","",J269-N(K269))</f>
        <v/>
      </c>
      <c r="M269" s="13">
        <f>IF(OR(A269="",B269=""),"",COUNTIFS(Paradas!$A$5:$A$1004,A269,Paradas!$B$5:$B$1004,B269))</f>
        <v/>
      </c>
      <c r="N269" s="12">
        <f>IF(OR(H269="",I269=""),"",I269-H269)</f>
        <v/>
      </c>
      <c r="O269" s="7" t="n"/>
    </row>
    <row r="270">
      <c r="A270" s="14" t="n"/>
      <c r="B270" s="7" t="n"/>
      <c r="C270" s="7" t="n"/>
      <c r="D270" s="7" t="n"/>
      <c r="E270" s="15" t="n"/>
      <c r="F270" s="15" t="n"/>
      <c r="G270" s="15" t="n"/>
      <c r="H270" s="16" t="n"/>
      <c r="I270" s="16" t="n"/>
      <c r="J270" s="12">
        <f>IF(OR(E270="",F270=""),"",ROUND((MOD(F270-E270,1)-N(G270))*24,2))</f>
        <v/>
      </c>
      <c r="K270" s="12">
        <f>IF(OR(A270="",B270=""),"",SUMIFS(Paradas!$F$5:$F$1004,Paradas!$A$5:$A$1004,A270,Paradas!$B$5:$B$1004,B270))</f>
        <v/>
      </c>
      <c r="L270" s="12">
        <f>IF(J270="","",J270-N(K270))</f>
        <v/>
      </c>
      <c r="M270" s="13">
        <f>IF(OR(A270="",B270=""),"",COUNTIFS(Paradas!$A$5:$A$1004,A270,Paradas!$B$5:$B$1004,B270))</f>
        <v/>
      </c>
      <c r="N270" s="12">
        <f>IF(OR(H270="",I270=""),"",I270-H270)</f>
        <v/>
      </c>
      <c r="O270" s="7" t="n"/>
    </row>
    <row r="271">
      <c r="A271" s="14" t="n"/>
      <c r="B271" s="7" t="n"/>
      <c r="C271" s="7" t="n"/>
      <c r="D271" s="7" t="n"/>
      <c r="E271" s="15" t="n"/>
      <c r="F271" s="15" t="n"/>
      <c r="G271" s="15" t="n"/>
      <c r="H271" s="16" t="n"/>
      <c r="I271" s="16" t="n"/>
      <c r="J271" s="12">
        <f>IF(OR(E271="",F271=""),"",ROUND((MOD(F271-E271,1)-N(G271))*24,2))</f>
        <v/>
      </c>
      <c r="K271" s="12">
        <f>IF(OR(A271="",B271=""),"",SUMIFS(Paradas!$F$5:$F$1004,Paradas!$A$5:$A$1004,A271,Paradas!$B$5:$B$1004,B271))</f>
        <v/>
      </c>
      <c r="L271" s="12">
        <f>IF(J271="","",J271-N(K271))</f>
        <v/>
      </c>
      <c r="M271" s="13">
        <f>IF(OR(A271="",B271=""),"",COUNTIFS(Paradas!$A$5:$A$1004,A271,Paradas!$B$5:$B$1004,B271))</f>
        <v/>
      </c>
      <c r="N271" s="12">
        <f>IF(OR(H271="",I271=""),"",I271-H271)</f>
        <v/>
      </c>
      <c r="O271" s="7" t="n"/>
    </row>
    <row r="272">
      <c r="A272" s="14" t="n"/>
      <c r="B272" s="7" t="n"/>
      <c r="C272" s="7" t="n"/>
      <c r="D272" s="7" t="n"/>
      <c r="E272" s="15" t="n"/>
      <c r="F272" s="15" t="n"/>
      <c r="G272" s="15" t="n"/>
      <c r="H272" s="16" t="n"/>
      <c r="I272" s="16" t="n"/>
      <c r="J272" s="12">
        <f>IF(OR(E272="",F272=""),"",ROUND((MOD(F272-E272,1)-N(G272))*24,2))</f>
        <v/>
      </c>
      <c r="K272" s="12">
        <f>IF(OR(A272="",B272=""),"",SUMIFS(Paradas!$F$5:$F$1004,Paradas!$A$5:$A$1004,A272,Paradas!$B$5:$B$1004,B272))</f>
        <v/>
      </c>
      <c r="L272" s="12">
        <f>IF(J272="","",J272-N(K272))</f>
        <v/>
      </c>
      <c r="M272" s="13">
        <f>IF(OR(A272="",B272=""),"",COUNTIFS(Paradas!$A$5:$A$1004,A272,Paradas!$B$5:$B$1004,B272))</f>
        <v/>
      </c>
      <c r="N272" s="12">
        <f>IF(OR(H272="",I272=""),"",I272-H272)</f>
        <v/>
      </c>
      <c r="O272" s="7" t="n"/>
    </row>
    <row r="273">
      <c r="A273" s="14" t="n"/>
      <c r="B273" s="7" t="n"/>
      <c r="C273" s="7" t="n"/>
      <c r="D273" s="7" t="n"/>
      <c r="E273" s="15" t="n"/>
      <c r="F273" s="15" t="n"/>
      <c r="G273" s="15" t="n"/>
      <c r="H273" s="16" t="n"/>
      <c r="I273" s="16" t="n"/>
      <c r="J273" s="12">
        <f>IF(OR(E273="",F273=""),"",ROUND((MOD(F273-E273,1)-N(G273))*24,2))</f>
        <v/>
      </c>
      <c r="K273" s="12">
        <f>IF(OR(A273="",B273=""),"",SUMIFS(Paradas!$F$5:$F$1004,Paradas!$A$5:$A$1004,A273,Paradas!$B$5:$B$1004,B273))</f>
        <v/>
      </c>
      <c r="L273" s="12">
        <f>IF(J273="","",J273-N(K273))</f>
        <v/>
      </c>
      <c r="M273" s="13">
        <f>IF(OR(A273="",B273=""),"",COUNTIFS(Paradas!$A$5:$A$1004,A273,Paradas!$B$5:$B$1004,B273))</f>
        <v/>
      </c>
      <c r="N273" s="12">
        <f>IF(OR(H273="",I273=""),"",I273-H273)</f>
        <v/>
      </c>
      <c r="O273" s="7" t="n"/>
    </row>
    <row r="274">
      <c r="A274" s="14" t="n"/>
      <c r="B274" s="7" t="n"/>
      <c r="C274" s="7" t="n"/>
      <c r="D274" s="7" t="n"/>
      <c r="E274" s="15" t="n"/>
      <c r="F274" s="15" t="n"/>
      <c r="G274" s="15" t="n"/>
      <c r="H274" s="16" t="n"/>
      <c r="I274" s="16" t="n"/>
      <c r="J274" s="12">
        <f>IF(OR(E274="",F274=""),"",ROUND((MOD(F274-E274,1)-N(G274))*24,2))</f>
        <v/>
      </c>
      <c r="K274" s="12">
        <f>IF(OR(A274="",B274=""),"",SUMIFS(Paradas!$F$5:$F$1004,Paradas!$A$5:$A$1004,A274,Paradas!$B$5:$B$1004,B274))</f>
        <v/>
      </c>
      <c r="L274" s="12">
        <f>IF(J274="","",J274-N(K274))</f>
        <v/>
      </c>
      <c r="M274" s="13">
        <f>IF(OR(A274="",B274=""),"",COUNTIFS(Paradas!$A$5:$A$1004,A274,Paradas!$B$5:$B$1004,B274))</f>
        <v/>
      </c>
      <c r="N274" s="12">
        <f>IF(OR(H274="",I274=""),"",I274-H274)</f>
        <v/>
      </c>
      <c r="O274" s="7" t="n"/>
    </row>
    <row r="275">
      <c r="A275" s="14" t="n"/>
      <c r="B275" s="7" t="n"/>
      <c r="C275" s="7" t="n"/>
      <c r="D275" s="7" t="n"/>
      <c r="E275" s="15" t="n"/>
      <c r="F275" s="15" t="n"/>
      <c r="G275" s="15" t="n"/>
      <c r="H275" s="16" t="n"/>
      <c r="I275" s="16" t="n"/>
      <c r="J275" s="12">
        <f>IF(OR(E275="",F275=""),"",ROUND((MOD(F275-E275,1)-N(G275))*24,2))</f>
        <v/>
      </c>
      <c r="K275" s="12">
        <f>IF(OR(A275="",B275=""),"",SUMIFS(Paradas!$F$5:$F$1004,Paradas!$A$5:$A$1004,A275,Paradas!$B$5:$B$1004,B275))</f>
        <v/>
      </c>
      <c r="L275" s="12">
        <f>IF(J275="","",J275-N(K275))</f>
        <v/>
      </c>
      <c r="M275" s="13">
        <f>IF(OR(A275="",B275=""),"",COUNTIFS(Paradas!$A$5:$A$1004,A275,Paradas!$B$5:$B$1004,B275))</f>
        <v/>
      </c>
      <c r="N275" s="12">
        <f>IF(OR(H275="",I275=""),"",I275-H275)</f>
        <v/>
      </c>
      <c r="O275" s="7" t="n"/>
    </row>
    <row r="276">
      <c r="A276" s="14" t="n"/>
      <c r="B276" s="7" t="n"/>
      <c r="C276" s="7" t="n"/>
      <c r="D276" s="7" t="n"/>
      <c r="E276" s="15" t="n"/>
      <c r="F276" s="15" t="n"/>
      <c r="G276" s="15" t="n"/>
      <c r="H276" s="16" t="n"/>
      <c r="I276" s="16" t="n"/>
      <c r="J276" s="12">
        <f>IF(OR(E276="",F276=""),"",ROUND((MOD(F276-E276,1)-N(G276))*24,2))</f>
        <v/>
      </c>
      <c r="K276" s="12">
        <f>IF(OR(A276="",B276=""),"",SUMIFS(Paradas!$F$5:$F$1004,Paradas!$A$5:$A$1004,A276,Paradas!$B$5:$B$1004,B276))</f>
        <v/>
      </c>
      <c r="L276" s="12">
        <f>IF(J276="","",J276-N(K276))</f>
        <v/>
      </c>
      <c r="M276" s="13">
        <f>IF(OR(A276="",B276=""),"",COUNTIFS(Paradas!$A$5:$A$1004,A276,Paradas!$B$5:$B$1004,B276))</f>
        <v/>
      </c>
      <c r="N276" s="12">
        <f>IF(OR(H276="",I276=""),"",I276-H276)</f>
        <v/>
      </c>
      <c r="O276" s="7" t="n"/>
    </row>
    <row r="277">
      <c r="A277" s="14" t="n"/>
      <c r="B277" s="7" t="n"/>
      <c r="C277" s="7" t="n"/>
      <c r="D277" s="7" t="n"/>
      <c r="E277" s="15" t="n"/>
      <c r="F277" s="15" t="n"/>
      <c r="G277" s="15" t="n"/>
      <c r="H277" s="16" t="n"/>
      <c r="I277" s="16" t="n"/>
      <c r="J277" s="12">
        <f>IF(OR(E277="",F277=""),"",ROUND((MOD(F277-E277,1)-N(G277))*24,2))</f>
        <v/>
      </c>
      <c r="K277" s="12">
        <f>IF(OR(A277="",B277=""),"",SUMIFS(Paradas!$F$5:$F$1004,Paradas!$A$5:$A$1004,A277,Paradas!$B$5:$B$1004,B277))</f>
        <v/>
      </c>
      <c r="L277" s="12">
        <f>IF(J277="","",J277-N(K277))</f>
        <v/>
      </c>
      <c r="M277" s="13">
        <f>IF(OR(A277="",B277=""),"",COUNTIFS(Paradas!$A$5:$A$1004,A277,Paradas!$B$5:$B$1004,B277))</f>
        <v/>
      </c>
      <c r="N277" s="12">
        <f>IF(OR(H277="",I277=""),"",I277-H277)</f>
        <v/>
      </c>
      <c r="O277" s="7" t="n"/>
    </row>
    <row r="278">
      <c r="A278" s="14" t="n"/>
      <c r="B278" s="7" t="n"/>
      <c r="C278" s="7" t="n"/>
      <c r="D278" s="7" t="n"/>
      <c r="E278" s="15" t="n"/>
      <c r="F278" s="15" t="n"/>
      <c r="G278" s="15" t="n"/>
      <c r="H278" s="16" t="n"/>
      <c r="I278" s="16" t="n"/>
      <c r="J278" s="12">
        <f>IF(OR(E278="",F278=""),"",ROUND((MOD(F278-E278,1)-N(G278))*24,2))</f>
        <v/>
      </c>
      <c r="K278" s="12">
        <f>IF(OR(A278="",B278=""),"",SUMIFS(Paradas!$F$5:$F$1004,Paradas!$A$5:$A$1004,A278,Paradas!$B$5:$B$1004,B278))</f>
        <v/>
      </c>
      <c r="L278" s="12">
        <f>IF(J278="","",J278-N(K278))</f>
        <v/>
      </c>
      <c r="M278" s="13">
        <f>IF(OR(A278="",B278=""),"",COUNTIFS(Paradas!$A$5:$A$1004,A278,Paradas!$B$5:$B$1004,B278))</f>
        <v/>
      </c>
      <c r="N278" s="12">
        <f>IF(OR(H278="",I278=""),"",I278-H278)</f>
        <v/>
      </c>
      <c r="O278" s="7" t="n"/>
    </row>
    <row r="279">
      <c r="A279" s="14" t="n"/>
      <c r="B279" s="7" t="n"/>
      <c r="C279" s="7" t="n"/>
      <c r="D279" s="7" t="n"/>
      <c r="E279" s="15" t="n"/>
      <c r="F279" s="15" t="n"/>
      <c r="G279" s="15" t="n"/>
      <c r="H279" s="16" t="n"/>
      <c r="I279" s="16" t="n"/>
      <c r="J279" s="12">
        <f>IF(OR(E279="",F279=""),"",ROUND((MOD(F279-E279,1)-N(G279))*24,2))</f>
        <v/>
      </c>
      <c r="K279" s="12">
        <f>IF(OR(A279="",B279=""),"",SUMIFS(Paradas!$F$5:$F$1004,Paradas!$A$5:$A$1004,A279,Paradas!$B$5:$B$1004,B279))</f>
        <v/>
      </c>
      <c r="L279" s="12">
        <f>IF(J279="","",J279-N(K279))</f>
        <v/>
      </c>
      <c r="M279" s="13">
        <f>IF(OR(A279="",B279=""),"",COUNTIFS(Paradas!$A$5:$A$1004,A279,Paradas!$B$5:$B$1004,B279))</f>
        <v/>
      </c>
      <c r="N279" s="12">
        <f>IF(OR(H279="",I279=""),"",I279-H279)</f>
        <v/>
      </c>
      <c r="O279" s="7" t="n"/>
    </row>
    <row r="280">
      <c r="A280" s="14" t="n"/>
      <c r="B280" s="7" t="n"/>
      <c r="C280" s="7" t="n"/>
      <c r="D280" s="7" t="n"/>
      <c r="E280" s="15" t="n"/>
      <c r="F280" s="15" t="n"/>
      <c r="G280" s="15" t="n"/>
      <c r="H280" s="16" t="n"/>
      <c r="I280" s="16" t="n"/>
      <c r="J280" s="12">
        <f>IF(OR(E280="",F280=""),"",ROUND((MOD(F280-E280,1)-N(G280))*24,2))</f>
        <v/>
      </c>
      <c r="K280" s="12">
        <f>IF(OR(A280="",B280=""),"",SUMIFS(Paradas!$F$5:$F$1004,Paradas!$A$5:$A$1004,A280,Paradas!$B$5:$B$1004,B280))</f>
        <v/>
      </c>
      <c r="L280" s="12">
        <f>IF(J280="","",J280-N(K280))</f>
        <v/>
      </c>
      <c r="M280" s="13">
        <f>IF(OR(A280="",B280=""),"",COUNTIFS(Paradas!$A$5:$A$1004,A280,Paradas!$B$5:$B$1004,B280))</f>
        <v/>
      </c>
      <c r="N280" s="12">
        <f>IF(OR(H280="",I280=""),"",I280-H280)</f>
        <v/>
      </c>
      <c r="O280" s="7" t="n"/>
    </row>
    <row r="281">
      <c r="A281" s="14" t="n"/>
      <c r="B281" s="7" t="n"/>
      <c r="C281" s="7" t="n"/>
      <c r="D281" s="7" t="n"/>
      <c r="E281" s="15" t="n"/>
      <c r="F281" s="15" t="n"/>
      <c r="G281" s="15" t="n"/>
      <c r="H281" s="16" t="n"/>
      <c r="I281" s="16" t="n"/>
      <c r="J281" s="12">
        <f>IF(OR(E281="",F281=""),"",ROUND((MOD(F281-E281,1)-N(G281))*24,2))</f>
        <v/>
      </c>
      <c r="K281" s="12">
        <f>IF(OR(A281="",B281=""),"",SUMIFS(Paradas!$F$5:$F$1004,Paradas!$A$5:$A$1004,A281,Paradas!$B$5:$B$1004,B281))</f>
        <v/>
      </c>
      <c r="L281" s="12">
        <f>IF(J281="","",J281-N(K281))</f>
        <v/>
      </c>
      <c r="M281" s="13">
        <f>IF(OR(A281="",B281=""),"",COUNTIFS(Paradas!$A$5:$A$1004,A281,Paradas!$B$5:$B$1004,B281))</f>
        <v/>
      </c>
      <c r="N281" s="12">
        <f>IF(OR(H281="",I281=""),"",I281-H281)</f>
        <v/>
      </c>
      <c r="O281" s="7" t="n"/>
    </row>
    <row r="282">
      <c r="A282" s="14" t="n"/>
      <c r="B282" s="7" t="n"/>
      <c r="C282" s="7" t="n"/>
      <c r="D282" s="7" t="n"/>
      <c r="E282" s="15" t="n"/>
      <c r="F282" s="15" t="n"/>
      <c r="G282" s="15" t="n"/>
      <c r="H282" s="16" t="n"/>
      <c r="I282" s="16" t="n"/>
      <c r="J282" s="12">
        <f>IF(OR(E282="",F282=""),"",ROUND((MOD(F282-E282,1)-N(G282))*24,2))</f>
        <v/>
      </c>
      <c r="K282" s="12">
        <f>IF(OR(A282="",B282=""),"",SUMIFS(Paradas!$F$5:$F$1004,Paradas!$A$5:$A$1004,A282,Paradas!$B$5:$B$1004,B282))</f>
        <v/>
      </c>
      <c r="L282" s="12">
        <f>IF(J282="","",J282-N(K282))</f>
        <v/>
      </c>
      <c r="M282" s="13">
        <f>IF(OR(A282="",B282=""),"",COUNTIFS(Paradas!$A$5:$A$1004,A282,Paradas!$B$5:$B$1004,B282))</f>
        <v/>
      </c>
      <c r="N282" s="12">
        <f>IF(OR(H282="",I282=""),"",I282-H282)</f>
        <v/>
      </c>
      <c r="O282" s="7" t="n"/>
    </row>
    <row r="283">
      <c r="A283" s="14" t="n"/>
      <c r="B283" s="7" t="n"/>
      <c r="C283" s="7" t="n"/>
      <c r="D283" s="7" t="n"/>
      <c r="E283" s="15" t="n"/>
      <c r="F283" s="15" t="n"/>
      <c r="G283" s="15" t="n"/>
      <c r="H283" s="16" t="n"/>
      <c r="I283" s="16" t="n"/>
      <c r="J283" s="12">
        <f>IF(OR(E283="",F283=""),"",ROUND((MOD(F283-E283,1)-N(G283))*24,2))</f>
        <v/>
      </c>
      <c r="K283" s="12">
        <f>IF(OR(A283="",B283=""),"",SUMIFS(Paradas!$F$5:$F$1004,Paradas!$A$5:$A$1004,A283,Paradas!$B$5:$B$1004,B283))</f>
        <v/>
      </c>
      <c r="L283" s="12">
        <f>IF(J283="","",J283-N(K283))</f>
        <v/>
      </c>
      <c r="M283" s="13">
        <f>IF(OR(A283="",B283=""),"",COUNTIFS(Paradas!$A$5:$A$1004,A283,Paradas!$B$5:$B$1004,B283))</f>
        <v/>
      </c>
      <c r="N283" s="12">
        <f>IF(OR(H283="",I283=""),"",I283-H283)</f>
        <v/>
      </c>
      <c r="O283" s="7" t="n"/>
    </row>
    <row r="284">
      <c r="A284" s="14" t="n"/>
      <c r="B284" s="7" t="n"/>
      <c r="C284" s="7" t="n"/>
      <c r="D284" s="7" t="n"/>
      <c r="E284" s="15" t="n"/>
      <c r="F284" s="15" t="n"/>
      <c r="G284" s="15" t="n"/>
      <c r="H284" s="16" t="n"/>
      <c r="I284" s="16" t="n"/>
      <c r="J284" s="12">
        <f>IF(OR(E284="",F284=""),"",ROUND((MOD(F284-E284,1)-N(G284))*24,2))</f>
        <v/>
      </c>
      <c r="K284" s="12">
        <f>IF(OR(A284="",B284=""),"",SUMIFS(Paradas!$F$5:$F$1004,Paradas!$A$5:$A$1004,A284,Paradas!$B$5:$B$1004,B284))</f>
        <v/>
      </c>
      <c r="L284" s="12">
        <f>IF(J284="","",J284-N(K284))</f>
        <v/>
      </c>
      <c r="M284" s="13">
        <f>IF(OR(A284="",B284=""),"",COUNTIFS(Paradas!$A$5:$A$1004,A284,Paradas!$B$5:$B$1004,B284))</f>
        <v/>
      </c>
      <c r="N284" s="12">
        <f>IF(OR(H284="",I284=""),"",I284-H284)</f>
        <v/>
      </c>
      <c r="O284" s="7" t="n"/>
    </row>
    <row r="285">
      <c r="A285" s="14" t="n"/>
      <c r="B285" s="7" t="n"/>
      <c r="C285" s="7" t="n"/>
      <c r="D285" s="7" t="n"/>
      <c r="E285" s="15" t="n"/>
      <c r="F285" s="15" t="n"/>
      <c r="G285" s="15" t="n"/>
      <c r="H285" s="16" t="n"/>
      <c r="I285" s="16" t="n"/>
      <c r="J285" s="12">
        <f>IF(OR(E285="",F285=""),"",ROUND((MOD(F285-E285,1)-N(G285))*24,2))</f>
        <v/>
      </c>
      <c r="K285" s="12">
        <f>IF(OR(A285="",B285=""),"",SUMIFS(Paradas!$F$5:$F$1004,Paradas!$A$5:$A$1004,A285,Paradas!$B$5:$B$1004,B285))</f>
        <v/>
      </c>
      <c r="L285" s="12">
        <f>IF(J285="","",J285-N(K285))</f>
        <v/>
      </c>
      <c r="M285" s="13">
        <f>IF(OR(A285="",B285=""),"",COUNTIFS(Paradas!$A$5:$A$1004,A285,Paradas!$B$5:$B$1004,B285))</f>
        <v/>
      </c>
      <c r="N285" s="12">
        <f>IF(OR(H285="",I285=""),"",I285-H285)</f>
        <v/>
      </c>
      <c r="O285" s="7" t="n"/>
    </row>
    <row r="286">
      <c r="A286" s="14" t="n"/>
      <c r="B286" s="7" t="n"/>
      <c r="C286" s="7" t="n"/>
      <c r="D286" s="7" t="n"/>
      <c r="E286" s="15" t="n"/>
      <c r="F286" s="15" t="n"/>
      <c r="G286" s="15" t="n"/>
      <c r="H286" s="16" t="n"/>
      <c r="I286" s="16" t="n"/>
      <c r="J286" s="12">
        <f>IF(OR(E286="",F286=""),"",ROUND((MOD(F286-E286,1)-N(G286))*24,2))</f>
        <v/>
      </c>
      <c r="K286" s="12">
        <f>IF(OR(A286="",B286=""),"",SUMIFS(Paradas!$F$5:$F$1004,Paradas!$A$5:$A$1004,A286,Paradas!$B$5:$B$1004,B286))</f>
        <v/>
      </c>
      <c r="L286" s="12">
        <f>IF(J286="","",J286-N(K286))</f>
        <v/>
      </c>
      <c r="M286" s="13">
        <f>IF(OR(A286="",B286=""),"",COUNTIFS(Paradas!$A$5:$A$1004,A286,Paradas!$B$5:$B$1004,B286))</f>
        <v/>
      </c>
      <c r="N286" s="12">
        <f>IF(OR(H286="",I286=""),"",I286-H286)</f>
        <v/>
      </c>
      <c r="O286" s="7" t="n"/>
    </row>
    <row r="287">
      <c r="A287" s="14" t="n"/>
      <c r="B287" s="7" t="n"/>
      <c r="C287" s="7" t="n"/>
      <c r="D287" s="7" t="n"/>
      <c r="E287" s="15" t="n"/>
      <c r="F287" s="15" t="n"/>
      <c r="G287" s="15" t="n"/>
      <c r="H287" s="16" t="n"/>
      <c r="I287" s="16" t="n"/>
      <c r="J287" s="12">
        <f>IF(OR(E287="",F287=""),"",ROUND((MOD(F287-E287,1)-N(G287))*24,2))</f>
        <v/>
      </c>
      <c r="K287" s="12">
        <f>IF(OR(A287="",B287=""),"",SUMIFS(Paradas!$F$5:$F$1004,Paradas!$A$5:$A$1004,A287,Paradas!$B$5:$B$1004,B287))</f>
        <v/>
      </c>
      <c r="L287" s="12">
        <f>IF(J287="","",J287-N(K287))</f>
        <v/>
      </c>
      <c r="M287" s="13">
        <f>IF(OR(A287="",B287=""),"",COUNTIFS(Paradas!$A$5:$A$1004,A287,Paradas!$B$5:$B$1004,B287))</f>
        <v/>
      </c>
      <c r="N287" s="12">
        <f>IF(OR(H287="",I287=""),"",I287-H287)</f>
        <v/>
      </c>
      <c r="O287" s="7" t="n"/>
    </row>
    <row r="288">
      <c r="A288" s="14" t="n"/>
      <c r="B288" s="7" t="n"/>
      <c r="C288" s="7" t="n"/>
      <c r="D288" s="7" t="n"/>
      <c r="E288" s="15" t="n"/>
      <c r="F288" s="15" t="n"/>
      <c r="G288" s="15" t="n"/>
      <c r="H288" s="16" t="n"/>
      <c r="I288" s="16" t="n"/>
      <c r="J288" s="12">
        <f>IF(OR(E288="",F288=""),"",ROUND((MOD(F288-E288,1)-N(G288))*24,2))</f>
        <v/>
      </c>
      <c r="K288" s="12">
        <f>IF(OR(A288="",B288=""),"",SUMIFS(Paradas!$F$5:$F$1004,Paradas!$A$5:$A$1004,A288,Paradas!$B$5:$B$1004,B288))</f>
        <v/>
      </c>
      <c r="L288" s="12">
        <f>IF(J288="","",J288-N(K288))</f>
        <v/>
      </c>
      <c r="M288" s="13">
        <f>IF(OR(A288="",B288=""),"",COUNTIFS(Paradas!$A$5:$A$1004,A288,Paradas!$B$5:$B$1004,B288))</f>
        <v/>
      </c>
      <c r="N288" s="12">
        <f>IF(OR(H288="",I288=""),"",I288-H288)</f>
        <v/>
      </c>
      <c r="O288" s="7" t="n"/>
    </row>
    <row r="289">
      <c r="A289" s="14" t="n"/>
      <c r="B289" s="7" t="n"/>
      <c r="C289" s="7" t="n"/>
      <c r="D289" s="7" t="n"/>
      <c r="E289" s="15" t="n"/>
      <c r="F289" s="15" t="n"/>
      <c r="G289" s="15" t="n"/>
      <c r="H289" s="16" t="n"/>
      <c r="I289" s="16" t="n"/>
      <c r="J289" s="12">
        <f>IF(OR(E289="",F289=""),"",ROUND((MOD(F289-E289,1)-N(G289))*24,2))</f>
        <v/>
      </c>
      <c r="K289" s="12">
        <f>IF(OR(A289="",B289=""),"",SUMIFS(Paradas!$F$5:$F$1004,Paradas!$A$5:$A$1004,A289,Paradas!$B$5:$B$1004,B289))</f>
        <v/>
      </c>
      <c r="L289" s="12">
        <f>IF(J289="","",J289-N(K289))</f>
        <v/>
      </c>
      <c r="M289" s="13">
        <f>IF(OR(A289="",B289=""),"",COUNTIFS(Paradas!$A$5:$A$1004,A289,Paradas!$B$5:$B$1004,B289))</f>
        <v/>
      </c>
      <c r="N289" s="12">
        <f>IF(OR(H289="",I289=""),"",I289-H289)</f>
        <v/>
      </c>
      <c r="O289" s="7" t="n"/>
    </row>
    <row r="290">
      <c r="A290" s="14" t="n"/>
      <c r="B290" s="7" t="n"/>
      <c r="C290" s="7" t="n"/>
      <c r="D290" s="7" t="n"/>
      <c r="E290" s="15" t="n"/>
      <c r="F290" s="15" t="n"/>
      <c r="G290" s="15" t="n"/>
      <c r="H290" s="16" t="n"/>
      <c r="I290" s="16" t="n"/>
      <c r="J290" s="12">
        <f>IF(OR(E290="",F290=""),"",ROUND((MOD(F290-E290,1)-N(G290))*24,2))</f>
        <v/>
      </c>
      <c r="K290" s="12">
        <f>IF(OR(A290="",B290=""),"",SUMIFS(Paradas!$F$5:$F$1004,Paradas!$A$5:$A$1004,A290,Paradas!$B$5:$B$1004,B290))</f>
        <v/>
      </c>
      <c r="L290" s="12">
        <f>IF(J290="","",J290-N(K290))</f>
        <v/>
      </c>
      <c r="M290" s="13">
        <f>IF(OR(A290="",B290=""),"",COUNTIFS(Paradas!$A$5:$A$1004,A290,Paradas!$B$5:$B$1004,B290))</f>
        <v/>
      </c>
      <c r="N290" s="12">
        <f>IF(OR(H290="",I290=""),"",I290-H290)</f>
        <v/>
      </c>
      <c r="O290" s="7" t="n"/>
    </row>
    <row r="291">
      <c r="A291" s="14" t="n"/>
      <c r="B291" s="7" t="n"/>
      <c r="C291" s="7" t="n"/>
      <c r="D291" s="7" t="n"/>
      <c r="E291" s="15" t="n"/>
      <c r="F291" s="15" t="n"/>
      <c r="G291" s="15" t="n"/>
      <c r="H291" s="16" t="n"/>
      <c r="I291" s="16" t="n"/>
      <c r="J291" s="12">
        <f>IF(OR(E291="",F291=""),"",ROUND((MOD(F291-E291,1)-N(G291))*24,2))</f>
        <v/>
      </c>
      <c r="K291" s="12">
        <f>IF(OR(A291="",B291=""),"",SUMIFS(Paradas!$F$5:$F$1004,Paradas!$A$5:$A$1004,A291,Paradas!$B$5:$B$1004,B291))</f>
        <v/>
      </c>
      <c r="L291" s="12">
        <f>IF(J291="","",J291-N(K291))</f>
        <v/>
      </c>
      <c r="M291" s="13">
        <f>IF(OR(A291="",B291=""),"",COUNTIFS(Paradas!$A$5:$A$1004,A291,Paradas!$B$5:$B$1004,B291))</f>
        <v/>
      </c>
      <c r="N291" s="12">
        <f>IF(OR(H291="",I291=""),"",I291-H291)</f>
        <v/>
      </c>
      <c r="O291" s="7" t="n"/>
    </row>
    <row r="292">
      <c r="A292" s="14" t="n"/>
      <c r="B292" s="7" t="n"/>
      <c r="C292" s="7" t="n"/>
      <c r="D292" s="7" t="n"/>
      <c r="E292" s="15" t="n"/>
      <c r="F292" s="15" t="n"/>
      <c r="G292" s="15" t="n"/>
      <c r="H292" s="16" t="n"/>
      <c r="I292" s="16" t="n"/>
      <c r="J292" s="12">
        <f>IF(OR(E292="",F292=""),"",ROUND((MOD(F292-E292,1)-N(G292))*24,2))</f>
        <v/>
      </c>
      <c r="K292" s="12">
        <f>IF(OR(A292="",B292=""),"",SUMIFS(Paradas!$F$5:$F$1004,Paradas!$A$5:$A$1004,A292,Paradas!$B$5:$B$1004,B292))</f>
        <v/>
      </c>
      <c r="L292" s="12">
        <f>IF(J292="","",J292-N(K292))</f>
        <v/>
      </c>
      <c r="M292" s="13">
        <f>IF(OR(A292="",B292=""),"",COUNTIFS(Paradas!$A$5:$A$1004,A292,Paradas!$B$5:$B$1004,B292))</f>
        <v/>
      </c>
      <c r="N292" s="12">
        <f>IF(OR(H292="",I292=""),"",I292-H292)</f>
        <v/>
      </c>
      <c r="O292" s="7" t="n"/>
    </row>
    <row r="293">
      <c r="A293" s="14" t="n"/>
      <c r="B293" s="7" t="n"/>
      <c r="C293" s="7" t="n"/>
      <c r="D293" s="7" t="n"/>
      <c r="E293" s="15" t="n"/>
      <c r="F293" s="15" t="n"/>
      <c r="G293" s="15" t="n"/>
      <c r="H293" s="16" t="n"/>
      <c r="I293" s="16" t="n"/>
      <c r="J293" s="12">
        <f>IF(OR(E293="",F293=""),"",ROUND((MOD(F293-E293,1)-N(G293))*24,2))</f>
        <v/>
      </c>
      <c r="K293" s="12">
        <f>IF(OR(A293="",B293=""),"",SUMIFS(Paradas!$F$5:$F$1004,Paradas!$A$5:$A$1004,A293,Paradas!$B$5:$B$1004,B293))</f>
        <v/>
      </c>
      <c r="L293" s="12">
        <f>IF(J293="","",J293-N(K293))</f>
        <v/>
      </c>
      <c r="M293" s="13">
        <f>IF(OR(A293="",B293=""),"",COUNTIFS(Paradas!$A$5:$A$1004,A293,Paradas!$B$5:$B$1004,B293))</f>
        <v/>
      </c>
      <c r="N293" s="12">
        <f>IF(OR(H293="",I293=""),"",I293-H293)</f>
        <v/>
      </c>
      <c r="O293" s="7" t="n"/>
    </row>
    <row r="294">
      <c r="A294" s="14" t="n"/>
      <c r="B294" s="7" t="n"/>
      <c r="C294" s="7" t="n"/>
      <c r="D294" s="7" t="n"/>
      <c r="E294" s="15" t="n"/>
      <c r="F294" s="15" t="n"/>
      <c r="G294" s="15" t="n"/>
      <c r="H294" s="16" t="n"/>
      <c r="I294" s="16" t="n"/>
      <c r="J294" s="12">
        <f>IF(OR(E294="",F294=""),"",ROUND((MOD(F294-E294,1)-N(G294))*24,2))</f>
        <v/>
      </c>
      <c r="K294" s="12">
        <f>IF(OR(A294="",B294=""),"",SUMIFS(Paradas!$F$5:$F$1004,Paradas!$A$5:$A$1004,A294,Paradas!$B$5:$B$1004,B294))</f>
        <v/>
      </c>
      <c r="L294" s="12">
        <f>IF(J294="","",J294-N(K294))</f>
        <v/>
      </c>
      <c r="M294" s="13">
        <f>IF(OR(A294="",B294=""),"",COUNTIFS(Paradas!$A$5:$A$1004,A294,Paradas!$B$5:$B$1004,B294))</f>
        <v/>
      </c>
      <c r="N294" s="12">
        <f>IF(OR(H294="",I294=""),"",I294-H294)</f>
        <v/>
      </c>
      <c r="O294" s="7" t="n"/>
    </row>
    <row r="295">
      <c r="A295" s="14" t="n"/>
      <c r="B295" s="7" t="n"/>
      <c r="C295" s="7" t="n"/>
      <c r="D295" s="7" t="n"/>
      <c r="E295" s="15" t="n"/>
      <c r="F295" s="15" t="n"/>
      <c r="G295" s="15" t="n"/>
      <c r="H295" s="16" t="n"/>
      <c r="I295" s="16" t="n"/>
      <c r="J295" s="12">
        <f>IF(OR(E295="",F295=""),"",ROUND((MOD(F295-E295,1)-N(G295))*24,2))</f>
        <v/>
      </c>
      <c r="K295" s="12">
        <f>IF(OR(A295="",B295=""),"",SUMIFS(Paradas!$F$5:$F$1004,Paradas!$A$5:$A$1004,A295,Paradas!$B$5:$B$1004,B295))</f>
        <v/>
      </c>
      <c r="L295" s="12">
        <f>IF(J295="","",J295-N(K295))</f>
        <v/>
      </c>
      <c r="M295" s="13">
        <f>IF(OR(A295="",B295=""),"",COUNTIFS(Paradas!$A$5:$A$1004,A295,Paradas!$B$5:$B$1004,B295))</f>
        <v/>
      </c>
      <c r="N295" s="12">
        <f>IF(OR(H295="",I295=""),"",I295-H295)</f>
        <v/>
      </c>
      <c r="O295" s="7" t="n"/>
    </row>
    <row r="296">
      <c r="A296" s="14" t="n"/>
      <c r="B296" s="7" t="n"/>
      <c r="C296" s="7" t="n"/>
      <c r="D296" s="7" t="n"/>
      <c r="E296" s="15" t="n"/>
      <c r="F296" s="15" t="n"/>
      <c r="G296" s="15" t="n"/>
      <c r="H296" s="16" t="n"/>
      <c r="I296" s="16" t="n"/>
      <c r="J296" s="12">
        <f>IF(OR(E296="",F296=""),"",ROUND((MOD(F296-E296,1)-N(G296))*24,2))</f>
        <v/>
      </c>
      <c r="K296" s="12">
        <f>IF(OR(A296="",B296=""),"",SUMIFS(Paradas!$F$5:$F$1004,Paradas!$A$5:$A$1004,A296,Paradas!$B$5:$B$1004,B296))</f>
        <v/>
      </c>
      <c r="L296" s="12">
        <f>IF(J296="","",J296-N(K296))</f>
        <v/>
      </c>
      <c r="M296" s="13">
        <f>IF(OR(A296="",B296=""),"",COUNTIFS(Paradas!$A$5:$A$1004,A296,Paradas!$B$5:$B$1004,B296))</f>
        <v/>
      </c>
      <c r="N296" s="12">
        <f>IF(OR(H296="",I296=""),"",I296-H296)</f>
        <v/>
      </c>
      <c r="O296" s="7" t="n"/>
    </row>
    <row r="297">
      <c r="A297" s="14" t="n"/>
      <c r="B297" s="7" t="n"/>
      <c r="C297" s="7" t="n"/>
      <c r="D297" s="7" t="n"/>
      <c r="E297" s="15" t="n"/>
      <c r="F297" s="15" t="n"/>
      <c r="G297" s="15" t="n"/>
      <c r="H297" s="16" t="n"/>
      <c r="I297" s="16" t="n"/>
      <c r="J297" s="12">
        <f>IF(OR(E297="",F297=""),"",ROUND((MOD(F297-E297,1)-N(G297))*24,2))</f>
        <v/>
      </c>
      <c r="K297" s="12">
        <f>IF(OR(A297="",B297=""),"",SUMIFS(Paradas!$F$5:$F$1004,Paradas!$A$5:$A$1004,A297,Paradas!$B$5:$B$1004,B297))</f>
        <v/>
      </c>
      <c r="L297" s="12">
        <f>IF(J297="","",J297-N(K297))</f>
        <v/>
      </c>
      <c r="M297" s="13">
        <f>IF(OR(A297="",B297=""),"",COUNTIFS(Paradas!$A$5:$A$1004,A297,Paradas!$B$5:$B$1004,B297))</f>
        <v/>
      </c>
      <c r="N297" s="12">
        <f>IF(OR(H297="",I297=""),"",I297-H297)</f>
        <v/>
      </c>
      <c r="O297" s="7" t="n"/>
    </row>
    <row r="298">
      <c r="A298" s="14" t="n"/>
      <c r="B298" s="7" t="n"/>
      <c r="C298" s="7" t="n"/>
      <c r="D298" s="7" t="n"/>
      <c r="E298" s="15" t="n"/>
      <c r="F298" s="15" t="n"/>
      <c r="G298" s="15" t="n"/>
      <c r="H298" s="16" t="n"/>
      <c r="I298" s="16" t="n"/>
      <c r="J298" s="12">
        <f>IF(OR(E298="",F298=""),"",ROUND((MOD(F298-E298,1)-N(G298))*24,2))</f>
        <v/>
      </c>
      <c r="K298" s="12">
        <f>IF(OR(A298="",B298=""),"",SUMIFS(Paradas!$F$5:$F$1004,Paradas!$A$5:$A$1004,A298,Paradas!$B$5:$B$1004,B298))</f>
        <v/>
      </c>
      <c r="L298" s="12">
        <f>IF(J298="","",J298-N(K298))</f>
        <v/>
      </c>
      <c r="M298" s="13">
        <f>IF(OR(A298="",B298=""),"",COUNTIFS(Paradas!$A$5:$A$1004,A298,Paradas!$B$5:$B$1004,B298))</f>
        <v/>
      </c>
      <c r="N298" s="12">
        <f>IF(OR(H298="",I298=""),"",I298-H298)</f>
        <v/>
      </c>
      <c r="O298" s="7" t="n"/>
    </row>
    <row r="299">
      <c r="A299" s="14" t="n"/>
      <c r="B299" s="7" t="n"/>
      <c r="C299" s="7" t="n"/>
      <c r="D299" s="7" t="n"/>
      <c r="E299" s="15" t="n"/>
      <c r="F299" s="15" t="n"/>
      <c r="G299" s="15" t="n"/>
      <c r="H299" s="16" t="n"/>
      <c r="I299" s="16" t="n"/>
      <c r="J299" s="12">
        <f>IF(OR(E299="",F299=""),"",ROUND((MOD(F299-E299,1)-N(G299))*24,2))</f>
        <v/>
      </c>
      <c r="K299" s="12">
        <f>IF(OR(A299="",B299=""),"",SUMIFS(Paradas!$F$5:$F$1004,Paradas!$A$5:$A$1004,A299,Paradas!$B$5:$B$1004,B299))</f>
        <v/>
      </c>
      <c r="L299" s="12">
        <f>IF(J299="","",J299-N(K299))</f>
        <v/>
      </c>
      <c r="M299" s="13">
        <f>IF(OR(A299="",B299=""),"",COUNTIFS(Paradas!$A$5:$A$1004,A299,Paradas!$B$5:$B$1004,B299))</f>
        <v/>
      </c>
      <c r="N299" s="12">
        <f>IF(OR(H299="",I299=""),"",I299-H299)</f>
        <v/>
      </c>
      <c r="O299" s="7" t="n"/>
    </row>
    <row r="300">
      <c r="A300" s="14" t="n"/>
      <c r="B300" s="7" t="n"/>
      <c r="C300" s="7" t="n"/>
      <c r="D300" s="7" t="n"/>
      <c r="E300" s="15" t="n"/>
      <c r="F300" s="15" t="n"/>
      <c r="G300" s="15" t="n"/>
      <c r="H300" s="16" t="n"/>
      <c r="I300" s="16" t="n"/>
      <c r="J300" s="12">
        <f>IF(OR(E300="",F300=""),"",ROUND((MOD(F300-E300,1)-N(G300))*24,2))</f>
        <v/>
      </c>
      <c r="K300" s="12">
        <f>IF(OR(A300="",B300=""),"",SUMIFS(Paradas!$F$5:$F$1004,Paradas!$A$5:$A$1004,A300,Paradas!$B$5:$B$1004,B300))</f>
        <v/>
      </c>
      <c r="L300" s="12">
        <f>IF(J300="","",J300-N(K300))</f>
        <v/>
      </c>
      <c r="M300" s="13">
        <f>IF(OR(A300="",B300=""),"",COUNTIFS(Paradas!$A$5:$A$1004,A300,Paradas!$B$5:$B$1004,B300))</f>
        <v/>
      </c>
      <c r="N300" s="12">
        <f>IF(OR(H300="",I300=""),"",I300-H300)</f>
        <v/>
      </c>
      <c r="O300" s="7" t="n"/>
    </row>
    <row r="301">
      <c r="A301" s="14" t="n"/>
      <c r="B301" s="7" t="n"/>
      <c r="C301" s="7" t="n"/>
      <c r="D301" s="7" t="n"/>
      <c r="E301" s="15" t="n"/>
      <c r="F301" s="15" t="n"/>
      <c r="G301" s="15" t="n"/>
      <c r="H301" s="16" t="n"/>
      <c r="I301" s="16" t="n"/>
      <c r="J301" s="12">
        <f>IF(OR(E301="",F301=""),"",ROUND((MOD(F301-E301,1)-N(G301))*24,2))</f>
        <v/>
      </c>
      <c r="K301" s="12">
        <f>IF(OR(A301="",B301=""),"",SUMIFS(Paradas!$F$5:$F$1004,Paradas!$A$5:$A$1004,A301,Paradas!$B$5:$B$1004,B301))</f>
        <v/>
      </c>
      <c r="L301" s="12">
        <f>IF(J301="","",J301-N(K301))</f>
        <v/>
      </c>
      <c r="M301" s="13">
        <f>IF(OR(A301="",B301=""),"",COUNTIFS(Paradas!$A$5:$A$1004,A301,Paradas!$B$5:$B$1004,B301))</f>
        <v/>
      </c>
      <c r="N301" s="12">
        <f>IF(OR(H301="",I301=""),"",I301-H301)</f>
        <v/>
      </c>
      <c r="O301" s="7" t="n"/>
    </row>
    <row r="302">
      <c r="A302" s="14" t="n"/>
      <c r="B302" s="7" t="n"/>
      <c r="C302" s="7" t="n"/>
      <c r="D302" s="7" t="n"/>
      <c r="E302" s="15" t="n"/>
      <c r="F302" s="15" t="n"/>
      <c r="G302" s="15" t="n"/>
      <c r="H302" s="16" t="n"/>
      <c r="I302" s="16" t="n"/>
      <c r="J302" s="12">
        <f>IF(OR(E302="",F302=""),"",ROUND((MOD(F302-E302,1)-N(G302))*24,2))</f>
        <v/>
      </c>
      <c r="K302" s="12">
        <f>IF(OR(A302="",B302=""),"",SUMIFS(Paradas!$F$5:$F$1004,Paradas!$A$5:$A$1004,A302,Paradas!$B$5:$B$1004,B302))</f>
        <v/>
      </c>
      <c r="L302" s="12">
        <f>IF(J302="","",J302-N(K302))</f>
        <v/>
      </c>
      <c r="M302" s="13">
        <f>IF(OR(A302="",B302=""),"",COUNTIFS(Paradas!$A$5:$A$1004,A302,Paradas!$B$5:$B$1004,B302))</f>
        <v/>
      </c>
      <c r="N302" s="12">
        <f>IF(OR(H302="",I302=""),"",I302-H302)</f>
        <v/>
      </c>
      <c r="O302" s="7" t="n"/>
    </row>
    <row r="303">
      <c r="A303" s="14" t="n"/>
      <c r="B303" s="7" t="n"/>
      <c r="C303" s="7" t="n"/>
      <c r="D303" s="7" t="n"/>
      <c r="E303" s="15" t="n"/>
      <c r="F303" s="15" t="n"/>
      <c r="G303" s="15" t="n"/>
      <c r="H303" s="16" t="n"/>
      <c r="I303" s="16" t="n"/>
      <c r="J303" s="12">
        <f>IF(OR(E303="",F303=""),"",ROUND((MOD(F303-E303,1)-N(G303))*24,2))</f>
        <v/>
      </c>
      <c r="K303" s="12">
        <f>IF(OR(A303="",B303=""),"",SUMIFS(Paradas!$F$5:$F$1004,Paradas!$A$5:$A$1004,A303,Paradas!$B$5:$B$1004,B303))</f>
        <v/>
      </c>
      <c r="L303" s="12">
        <f>IF(J303="","",J303-N(K303))</f>
        <v/>
      </c>
      <c r="M303" s="13">
        <f>IF(OR(A303="",B303=""),"",COUNTIFS(Paradas!$A$5:$A$1004,A303,Paradas!$B$5:$B$1004,B303))</f>
        <v/>
      </c>
      <c r="N303" s="12">
        <f>IF(OR(H303="",I303=""),"",I303-H303)</f>
        <v/>
      </c>
      <c r="O303" s="7" t="n"/>
    </row>
    <row r="304">
      <c r="A304" s="14" t="n"/>
      <c r="B304" s="7" t="n"/>
      <c r="C304" s="7" t="n"/>
      <c r="D304" s="7" t="n"/>
      <c r="E304" s="15" t="n"/>
      <c r="F304" s="15" t="n"/>
      <c r="G304" s="15" t="n"/>
      <c r="H304" s="16" t="n"/>
      <c r="I304" s="16" t="n"/>
      <c r="J304" s="12">
        <f>IF(OR(E304="",F304=""),"",ROUND((MOD(F304-E304,1)-N(G304))*24,2))</f>
        <v/>
      </c>
      <c r="K304" s="12">
        <f>IF(OR(A304="",B304=""),"",SUMIFS(Paradas!$F$5:$F$1004,Paradas!$A$5:$A$1004,A304,Paradas!$B$5:$B$1004,B304))</f>
        <v/>
      </c>
      <c r="L304" s="12">
        <f>IF(J304="","",J304-N(K304))</f>
        <v/>
      </c>
      <c r="M304" s="13">
        <f>IF(OR(A304="",B304=""),"",COUNTIFS(Paradas!$A$5:$A$1004,A304,Paradas!$B$5:$B$1004,B304))</f>
        <v/>
      </c>
      <c r="N304" s="12">
        <f>IF(OR(H304="",I304=""),"",I304-H304)</f>
        <v/>
      </c>
      <c r="O304" s="7" t="n"/>
    </row>
    <row r="305">
      <c r="A305" s="14" t="n"/>
      <c r="B305" s="7" t="n"/>
      <c r="C305" s="7" t="n"/>
      <c r="D305" s="7" t="n"/>
      <c r="E305" s="15" t="n"/>
      <c r="F305" s="15" t="n"/>
      <c r="G305" s="15" t="n"/>
      <c r="H305" s="16" t="n"/>
      <c r="I305" s="16" t="n"/>
      <c r="J305" s="12">
        <f>IF(OR(E305="",F305=""),"",ROUND((MOD(F305-E305,1)-N(G305))*24,2))</f>
        <v/>
      </c>
      <c r="K305" s="12">
        <f>IF(OR(A305="",B305=""),"",SUMIFS(Paradas!$F$5:$F$1004,Paradas!$A$5:$A$1004,A305,Paradas!$B$5:$B$1004,B305))</f>
        <v/>
      </c>
      <c r="L305" s="12">
        <f>IF(J305="","",J305-N(K305))</f>
        <v/>
      </c>
      <c r="M305" s="13">
        <f>IF(OR(A305="",B305=""),"",COUNTIFS(Paradas!$A$5:$A$1004,A305,Paradas!$B$5:$B$1004,B305))</f>
        <v/>
      </c>
      <c r="N305" s="12">
        <f>IF(OR(H305="",I305=""),"",I305-H305)</f>
        <v/>
      </c>
      <c r="O305" s="7" t="n"/>
    </row>
    <row r="306">
      <c r="A306" s="14" t="n"/>
      <c r="B306" s="7" t="n"/>
      <c r="C306" s="7" t="n"/>
      <c r="D306" s="7" t="n"/>
      <c r="E306" s="15" t="n"/>
      <c r="F306" s="15" t="n"/>
      <c r="G306" s="15" t="n"/>
      <c r="H306" s="16" t="n"/>
      <c r="I306" s="16" t="n"/>
      <c r="J306" s="12">
        <f>IF(OR(E306="",F306=""),"",ROUND((MOD(F306-E306,1)-N(G306))*24,2))</f>
        <v/>
      </c>
      <c r="K306" s="12">
        <f>IF(OR(A306="",B306=""),"",SUMIFS(Paradas!$F$5:$F$1004,Paradas!$A$5:$A$1004,A306,Paradas!$B$5:$B$1004,B306))</f>
        <v/>
      </c>
      <c r="L306" s="12">
        <f>IF(J306="","",J306-N(K306))</f>
        <v/>
      </c>
      <c r="M306" s="13">
        <f>IF(OR(A306="",B306=""),"",COUNTIFS(Paradas!$A$5:$A$1004,A306,Paradas!$B$5:$B$1004,B306))</f>
        <v/>
      </c>
      <c r="N306" s="12">
        <f>IF(OR(H306="",I306=""),"",I306-H306)</f>
        <v/>
      </c>
      <c r="O306" s="7" t="n"/>
    </row>
    <row r="307">
      <c r="A307" s="14" t="n"/>
      <c r="B307" s="7" t="n"/>
      <c r="C307" s="7" t="n"/>
      <c r="D307" s="7" t="n"/>
      <c r="E307" s="15" t="n"/>
      <c r="F307" s="15" t="n"/>
      <c r="G307" s="15" t="n"/>
      <c r="H307" s="16" t="n"/>
      <c r="I307" s="16" t="n"/>
      <c r="J307" s="12">
        <f>IF(OR(E307="",F307=""),"",ROUND((MOD(F307-E307,1)-N(G307))*24,2))</f>
        <v/>
      </c>
      <c r="K307" s="12">
        <f>IF(OR(A307="",B307=""),"",SUMIFS(Paradas!$F$5:$F$1004,Paradas!$A$5:$A$1004,A307,Paradas!$B$5:$B$1004,B307))</f>
        <v/>
      </c>
      <c r="L307" s="12">
        <f>IF(J307="","",J307-N(K307))</f>
        <v/>
      </c>
      <c r="M307" s="13">
        <f>IF(OR(A307="",B307=""),"",COUNTIFS(Paradas!$A$5:$A$1004,A307,Paradas!$B$5:$B$1004,B307))</f>
        <v/>
      </c>
      <c r="N307" s="12">
        <f>IF(OR(H307="",I307=""),"",I307-H307)</f>
        <v/>
      </c>
      <c r="O307" s="7" t="n"/>
    </row>
    <row r="308">
      <c r="A308" s="14" t="n"/>
      <c r="B308" s="7" t="n"/>
      <c r="C308" s="7" t="n"/>
      <c r="D308" s="7" t="n"/>
      <c r="E308" s="15" t="n"/>
      <c r="F308" s="15" t="n"/>
      <c r="G308" s="15" t="n"/>
      <c r="H308" s="16" t="n"/>
      <c r="I308" s="16" t="n"/>
      <c r="J308" s="12">
        <f>IF(OR(E308="",F308=""),"",ROUND((MOD(F308-E308,1)-N(G308))*24,2))</f>
        <v/>
      </c>
      <c r="K308" s="12">
        <f>IF(OR(A308="",B308=""),"",SUMIFS(Paradas!$F$5:$F$1004,Paradas!$A$5:$A$1004,A308,Paradas!$B$5:$B$1004,B308))</f>
        <v/>
      </c>
      <c r="L308" s="12">
        <f>IF(J308="","",J308-N(K308))</f>
        <v/>
      </c>
      <c r="M308" s="13">
        <f>IF(OR(A308="",B308=""),"",COUNTIFS(Paradas!$A$5:$A$1004,A308,Paradas!$B$5:$B$1004,B308))</f>
        <v/>
      </c>
      <c r="N308" s="12">
        <f>IF(OR(H308="",I308=""),"",I308-H308)</f>
        <v/>
      </c>
      <c r="O308" s="7" t="n"/>
    </row>
    <row r="309">
      <c r="A309" s="14" t="n"/>
      <c r="B309" s="7" t="n"/>
      <c r="C309" s="7" t="n"/>
      <c r="D309" s="7" t="n"/>
      <c r="E309" s="15" t="n"/>
      <c r="F309" s="15" t="n"/>
      <c r="G309" s="15" t="n"/>
      <c r="H309" s="16" t="n"/>
      <c r="I309" s="16" t="n"/>
      <c r="J309" s="12">
        <f>IF(OR(E309="",F309=""),"",ROUND((MOD(F309-E309,1)-N(G309))*24,2))</f>
        <v/>
      </c>
      <c r="K309" s="12">
        <f>IF(OR(A309="",B309=""),"",SUMIFS(Paradas!$F$5:$F$1004,Paradas!$A$5:$A$1004,A309,Paradas!$B$5:$B$1004,B309))</f>
        <v/>
      </c>
      <c r="L309" s="12">
        <f>IF(J309="","",J309-N(K309))</f>
        <v/>
      </c>
      <c r="M309" s="13">
        <f>IF(OR(A309="",B309=""),"",COUNTIFS(Paradas!$A$5:$A$1004,A309,Paradas!$B$5:$B$1004,B309))</f>
        <v/>
      </c>
      <c r="N309" s="12">
        <f>IF(OR(H309="",I309=""),"",I309-H309)</f>
        <v/>
      </c>
      <c r="O309" s="7" t="n"/>
    </row>
    <row r="310">
      <c r="A310" s="14" t="n"/>
      <c r="B310" s="7" t="n"/>
      <c r="C310" s="7" t="n"/>
      <c r="D310" s="7" t="n"/>
      <c r="E310" s="15" t="n"/>
      <c r="F310" s="15" t="n"/>
      <c r="G310" s="15" t="n"/>
      <c r="H310" s="16" t="n"/>
      <c r="I310" s="16" t="n"/>
      <c r="J310" s="12">
        <f>IF(OR(E310="",F310=""),"",ROUND((MOD(F310-E310,1)-N(G310))*24,2))</f>
        <v/>
      </c>
      <c r="K310" s="12">
        <f>IF(OR(A310="",B310=""),"",SUMIFS(Paradas!$F$5:$F$1004,Paradas!$A$5:$A$1004,A310,Paradas!$B$5:$B$1004,B310))</f>
        <v/>
      </c>
      <c r="L310" s="12">
        <f>IF(J310="","",J310-N(K310))</f>
        <v/>
      </c>
      <c r="M310" s="13">
        <f>IF(OR(A310="",B310=""),"",COUNTIFS(Paradas!$A$5:$A$1004,A310,Paradas!$B$5:$B$1004,B310))</f>
        <v/>
      </c>
      <c r="N310" s="12">
        <f>IF(OR(H310="",I310=""),"",I310-H310)</f>
        <v/>
      </c>
      <c r="O310" s="7" t="n"/>
    </row>
    <row r="311">
      <c r="A311" s="14" t="n"/>
      <c r="B311" s="7" t="n"/>
      <c r="C311" s="7" t="n"/>
      <c r="D311" s="7" t="n"/>
      <c r="E311" s="15" t="n"/>
      <c r="F311" s="15" t="n"/>
      <c r="G311" s="15" t="n"/>
      <c r="H311" s="16" t="n"/>
      <c r="I311" s="16" t="n"/>
      <c r="J311" s="12">
        <f>IF(OR(E311="",F311=""),"",ROUND((MOD(F311-E311,1)-N(G311))*24,2))</f>
        <v/>
      </c>
      <c r="K311" s="12">
        <f>IF(OR(A311="",B311=""),"",SUMIFS(Paradas!$F$5:$F$1004,Paradas!$A$5:$A$1004,A311,Paradas!$B$5:$B$1004,B311))</f>
        <v/>
      </c>
      <c r="L311" s="12">
        <f>IF(J311="","",J311-N(K311))</f>
        <v/>
      </c>
      <c r="M311" s="13">
        <f>IF(OR(A311="",B311=""),"",COUNTIFS(Paradas!$A$5:$A$1004,A311,Paradas!$B$5:$B$1004,B311))</f>
        <v/>
      </c>
      <c r="N311" s="12">
        <f>IF(OR(H311="",I311=""),"",I311-H311)</f>
        <v/>
      </c>
      <c r="O311" s="7" t="n"/>
    </row>
    <row r="312">
      <c r="A312" s="14" t="n"/>
      <c r="B312" s="7" t="n"/>
      <c r="C312" s="7" t="n"/>
      <c r="D312" s="7" t="n"/>
      <c r="E312" s="15" t="n"/>
      <c r="F312" s="15" t="n"/>
      <c r="G312" s="15" t="n"/>
      <c r="H312" s="16" t="n"/>
      <c r="I312" s="16" t="n"/>
      <c r="J312" s="12">
        <f>IF(OR(E312="",F312=""),"",ROUND((MOD(F312-E312,1)-N(G312))*24,2))</f>
        <v/>
      </c>
      <c r="K312" s="12">
        <f>IF(OR(A312="",B312=""),"",SUMIFS(Paradas!$F$5:$F$1004,Paradas!$A$5:$A$1004,A312,Paradas!$B$5:$B$1004,B312))</f>
        <v/>
      </c>
      <c r="L312" s="12">
        <f>IF(J312="","",J312-N(K312))</f>
        <v/>
      </c>
      <c r="M312" s="13">
        <f>IF(OR(A312="",B312=""),"",COUNTIFS(Paradas!$A$5:$A$1004,A312,Paradas!$B$5:$B$1004,B312))</f>
        <v/>
      </c>
      <c r="N312" s="12">
        <f>IF(OR(H312="",I312=""),"",I312-H312)</f>
        <v/>
      </c>
      <c r="O312" s="7" t="n"/>
    </row>
    <row r="313">
      <c r="A313" s="14" t="n"/>
      <c r="B313" s="7" t="n"/>
      <c r="C313" s="7" t="n"/>
      <c r="D313" s="7" t="n"/>
      <c r="E313" s="15" t="n"/>
      <c r="F313" s="15" t="n"/>
      <c r="G313" s="15" t="n"/>
      <c r="H313" s="16" t="n"/>
      <c r="I313" s="16" t="n"/>
      <c r="J313" s="12">
        <f>IF(OR(E313="",F313=""),"",ROUND((MOD(F313-E313,1)-N(G313))*24,2))</f>
        <v/>
      </c>
      <c r="K313" s="12">
        <f>IF(OR(A313="",B313=""),"",SUMIFS(Paradas!$F$5:$F$1004,Paradas!$A$5:$A$1004,A313,Paradas!$B$5:$B$1004,B313))</f>
        <v/>
      </c>
      <c r="L313" s="12">
        <f>IF(J313="","",J313-N(K313))</f>
        <v/>
      </c>
      <c r="M313" s="13">
        <f>IF(OR(A313="",B313=""),"",COUNTIFS(Paradas!$A$5:$A$1004,A313,Paradas!$B$5:$B$1004,B313))</f>
        <v/>
      </c>
      <c r="N313" s="12">
        <f>IF(OR(H313="",I313=""),"",I313-H313)</f>
        <v/>
      </c>
      <c r="O313" s="7" t="n"/>
    </row>
    <row r="314">
      <c r="A314" s="14" t="n"/>
      <c r="B314" s="7" t="n"/>
      <c r="C314" s="7" t="n"/>
      <c r="D314" s="7" t="n"/>
      <c r="E314" s="15" t="n"/>
      <c r="F314" s="15" t="n"/>
      <c r="G314" s="15" t="n"/>
      <c r="H314" s="16" t="n"/>
      <c r="I314" s="16" t="n"/>
      <c r="J314" s="12">
        <f>IF(OR(E314="",F314=""),"",ROUND((MOD(F314-E314,1)-N(G314))*24,2))</f>
        <v/>
      </c>
      <c r="K314" s="12">
        <f>IF(OR(A314="",B314=""),"",SUMIFS(Paradas!$F$5:$F$1004,Paradas!$A$5:$A$1004,A314,Paradas!$B$5:$B$1004,B314))</f>
        <v/>
      </c>
      <c r="L314" s="12">
        <f>IF(J314="","",J314-N(K314))</f>
        <v/>
      </c>
      <c r="M314" s="13">
        <f>IF(OR(A314="",B314=""),"",COUNTIFS(Paradas!$A$5:$A$1004,A314,Paradas!$B$5:$B$1004,B314))</f>
        <v/>
      </c>
      <c r="N314" s="12">
        <f>IF(OR(H314="",I314=""),"",I314-H314)</f>
        <v/>
      </c>
      <c r="O314" s="7" t="n"/>
    </row>
    <row r="315">
      <c r="A315" s="14" t="n"/>
      <c r="B315" s="7" t="n"/>
      <c r="C315" s="7" t="n"/>
      <c r="D315" s="7" t="n"/>
      <c r="E315" s="15" t="n"/>
      <c r="F315" s="15" t="n"/>
      <c r="G315" s="15" t="n"/>
      <c r="H315" s="16" t="n"/>
      <c r="I315" s="16" t="n"/>
      <c r="J315" s="12">
        <f>IF(OR(E315="",F315=""),"",ROUND((MOD(F315-E315,1)-N(G315))*24,2))</f>
        <v/>
      </c>
      <c r="K315" s="12">
        <f>IF(OR(A315="",B315=""),"",SUMIFS(Paradas!$F$5:$F$1004,Paradas!$A$5:$A$1004,A315,Paradas!$B$5:$B$1004,B315))</f>
        <v/>
      </c>
      <c r="L315" s="12">
        <f>IF(J315="","",J315-N(K315))</f>
        <v/>
      </c>
      <c r="M315" s="13">
        <f>IF(OR(A315="",B315=""),"",COUNTIFS(Paradas!$A$5:$A$1004,A315,Paradas!$B$5:$B$1004,B315))</f>
        <v/>
      </c>
      <c r="N315" s="12">
        <f>IF(OR(H315="",I315=""),"",I315-H315)</f>
        <v/>
      </c>
      <c r="O315" s="7" t="n"/>
    </row>
    <row r="316">
      <c r="A316" s="14" t="n"/>
      <c r="B316" s="7" t="n"/>
      <c r="C316" s="7" t="n"/>
      <c r="D316" s="7" t="n"/>
      <c r="E316" s="15" t="n"/>
      <c r="F316" s="15" t="n"/>
      <c r="G316" s="15" t="n"/>
      <c r="H316" s="16" t="n"/>
      <c r="I316" s="16" t="n"/>
      <c r="J316" s="12">
        <f>IF(OR(E316="",F316=""),"",ROUND((MOD(F316-E316,1)-N(G316))*24,2))</f>
        <v/>
      </c>
      <c r="K316" s="12">
        <f>IF(OR(A316="",B316=""),"",SUMIFS(Paradas!$F$5:$F$1004,Paradas!$A$5:$A$1004,A316,Paradas!$B$5:$B$1004,B316))</f>
        <v/>
      </c>
      <c r="L316" s="12">
        <f>IF(J316="","",J316-N(K316))</f>
        <v/>
      </c>
      <c r="M316" s="13">
        <f>IF(OR(A316="",B316=""),"",COUNTIFS(Paradas!$A$5:$A$1004,A316,Paradas!$B$5:$B$1004,B316))</f>
        <v/>
      </c>
      <c r="N316" s="12">
        <f>IF(OR(H316="",I316=""),"",I316-H316)</f>
        <v/>
      </c>
      <c r="O316" s="7" t="n"/>
    </row>
    <row r="317">
      <c r="A317" s="14" t="n"/>
      <c r="B317" s="7" t="n"/>
      <c r="C317" s="7" t="n"/>
      <c r="D317" s="7" t="n"/>
      <c r="E317" s="15" t="n"/>
      <c r="F317" s="15" t="n"/>
      <c r="G317" s="15" t="n"/>
      <c r="H317" s="16" t="n"/>
      <c r="I317" s="16" t="n"/>
      <c r="J317" s="12">
        <f>IF(OR(E317="",F317=""),"",ROUND((MOD(F317-E317,1)-N(G317))*24,2))</f>
        <v/>
      </c>
      <c r="K317" s="12">
        <f>IF(OR(A317="",B317=""),"",SUMIFS(Paradas!$F$5:$F$1004,Paradas!$A$5:$A$1004,A317,Paradas!$B$5:$B$1004,B317))</f>
        <v/>
      </c>
      <c r="L317" s="12">
        <f>IF(J317="","",J317-N(K317))</f>
        <v/>
      </c>
      <c r="M317" s="13">
        <f>IF(OR(A317="",B317=""),"",COUNTIFS(Paradas!$A$5:$A$1004,A317,Paradas!$B$5:$B$1004,B317))</f>
        <v/>
      </c>
      <c r="N317" s="12">
        <f>IF(OR(H317="",I317=""),"",I317-H317)</f>
        <v/>
      </c>
      <c r="O317" s="7" t="n"/>
    </row>
    <row r="318">
      <c r="A318" s="14" t="n"/>
      <c r="B318" s="7" t="n"/>
      <c r="C318" s="7" t="n"/>
      <c r="D318" s="7" t="n"/>
      <c r="E318" s="15" t="n"/>
      <c r="F318" s="15" t="n"/>
      <c r="G318" s="15" t="n"/>
      <c r="H318" s="16" t="n"/>
      <c r="I318" s="16" t="n"/>
      <c r="J318" s="12">
        <f>IF(OR(E318="",F318=""),"",ROUND((MOD(F318-E318,1)-N(G318))*24,2))</f>
        <v/>
      </c>
      <c r="K318" s="12">
        <f>IF(OR(A318="",B318=""),"",SUMIFS(Paradas!$F$5:$F$1004,Paradas!$A$5:$A$1004,A318,Paradas!$B$5:$B$1004,B318))</f>
        <v/>
      </c>
      <c r="L318" s="12">
        <f>IF(J318="","",J318-N(K318))</f>
        <v/>
      </c>
      <c r="M318" s="13">
        <f>IF(OR(A318="",B318=""),"",COUNTIFS(Paradas!$A$5:$A$1004,A318,Paradas!$B$5:$B$1004,B318))</f>
        <v/>
      </c>
      <c r="N318" s="12">
        <f>IF(OR(H318="",I318=""),"",I318-H318)</f>
        <v/>
      </c>
      <c r="O318" s="7" t="n"/>
    </row>
    <row r="319">
      <c r="A319" s="14" t="n"/>
      <c r="B319" s="7" t="n"/>
      <c r="C319" s="7" t="n"/>
      <c r="D319" s="7" t="n"/>
      <c r="E319" s="15" t="n"/>
      <c r="F319" s="15" t="n"/>
      <c r="G319" s="15" t="n"/>
      <c r="H319" s="16" t="n"/>
      <c r="I319" s="16" t="n"/>
      <c r="J319" s="12">
        <f>IF(OR(E319="",F319=""),"",ROUND((MOD(F319-E319,1)-N(G319))*24,2))</f>
        <v/>
      </c>
      <c r="K319" s="12">
        <f>IF(OR(A319="",B319=""),"",SUMIFS(Paradas!$F$5:$F$1004,Paradas!$A$5:$A$1004,A319,Paradas!$B$5:$B$1004,B319))</f>
        <v/>
      </c>
      <c r="L319" s="12">
        <f>IF(J319="","",J319-N(K319))</f>
        <v/>
      </c>
      <c r="M319" s="13">
        <f>IF(OR(A319="",B319=""),"",COUNTIFS(Paradas!$A$5:$A$1004,A319,Paradas!$B$5:$B$1004,B319))</f>
        <v/>
      </c>
      <c r="N319" s="12">
        <f>IF(OR(H319="",I319=""),"",I319-H319)</f>
        <v/>
      </c>
      <c r="O319" s="7" t="n"/>
    </row>
    <row r="320">
      <c r="A320" s="14" t="n"/>
      <c r="B320" s="7" t="n"/>
      <c r="C320" s="7" t="n"/>
      <c r="D320" s="7" t="n"/>
      <c r="E320" s="15" t="n"/>
      <c r="F320" s="15" t="n"/>
      <c r="G320" s="15" t="n"/>
      <c r="H320" s="16" t="n"/>
      <c r="I320" s="16" t="n"/>
      <c r="J320" s="12">
        <f>IF(OR(E320="",F320=""),"",ROUND((MOD(F320-E320,1)-N(G320))*24,2))</f>
        <v/>
      </c>
      <c r="K320" s="12">
        <f>IF(OR(A320="",B320=""),"",SUMIFS(Paradas!$F$5:$F$1004,Paradas!$A$5:$A$1004,A320,Paradas!$B$5:$B$1004,B320))</f>
        <v/>
      </c>
      <c r="L320" s="12">
        <f>IF(J320="","",J320-N(K320))</f>
        <v/>
      </c>
      <c r="M320" s="13">
        <f>IF(OR(A320="",B320=""),"",COUNTIFS(Paradas!$A$5:$A$1004,A320,Paradas!$B$5:$B$1004,B320))</f>
        <v/>
      </c>
      <c r="N320" s="12">
        <f>IF(OR(H320="",I320=""),"",I320-H320)</f>
        <v/>
      </c>
      <c r="O320" s="7" t="n"/>
    </row>
    <row r="321">
      <c r="A321" s="14" t="n"/>
      <c r="B321" s="7" t="n"/>
      <c r="C321" s="7" t="n"/>
      <c r="D321" s="7" t="n"/>
      <c r="E321" s="15" t="n"/>
      <c r="F321" s="15" t="n"/>
      <c r="G321" s="15" t="n"/>
      <c r="H321" s="16" t="n"/>
      <c r="I321" s="16" t="n"/>
      <c r="J321" s="12">
        <f>IF(OR(E321="",F321=""),"",ROUND((MOD(F321-E321,1)-N(G321))*24,2))</f>
        <v/>
      </c>
      <c r="K321" s="12">
        <f>IF(OR(A321="",B321=""),"",SUMIFS(Paradas!$F$5:$F$1004,Paradas!$A$5:$A$1004,A321,Paradas!$B$5:$B$1004,B321))</f>
        <v/>
      </c>
      <c r="L321" s="12">
        <f>IF(J321="","",J321-N(K321))</f>
        <v/>
      </c>
      <c r="M321" s="13">
        <f>IF(OR(A321="",B321=""),"",COUNTIFS(Paradas!$A$5:$A$1004,A321,Paradas!$B$5:$B$1004,B321))</f>
        <v/>
      </c>
      <c r="N321" s="12">
        <f>IF(OR(H321="",I321=""),"",I321-H321)</f>
        <v/>
      </c>
      <c r="O321" s="7" t="n"/>
    </row>
    <row r="322">
      <c r="A322" s="14" t="n"/>
      <c r="B322" s="7" t="n"/>
      <c r="C322" s="7" t="n"/>
      <c r="D322" s="7" t="n"/>
      <c r="E322" s="15" t="n"/>
      <c r="F322" s="15" t="n"/>
      <c r="G322" s="15" t="n"/>
      <c r="H322" s="16" t="n"/>
      <c r="I322" s="16" t="n"/>
      <c r="J322" s="12">
        <f>IF(OR(E322="",F322=""),"",ROUND((MOD(F322-E322,1)-N(G322))*24,2))</f>
        <v/>
      </c>
      <c r="K322" s="12">
        <f>IF(OR(A322="",B322=""),"",SUMIFS(Paradas!$F$5:$F$1004,Paradas!$A$5:$A$1004,A322,Paradas!$B$5:$B$1004,B322))</f>
        <v/>
      </c>
      <c r="L322" s="12">
        <f>IF(J322="","",J322-N(K322))</f>
        <v/>
      </c>
      <c r="M322" s="13">
        <f>IF(OR(A322="",B322=""),"",COUNTIFS(Paradas!$A$5:$A$1004,A322,Paradas!$B$5:$B$1004,B322))</f>
        <v/>
      </c>
      <c r="N322" s="12">
        <f>IF(OR(H322="",I322=""),"",I322-H322)</f>
        <v/>
      </c>
      <c r="O322" s="7" t="n"/>
    </row>
    <row r="323">
      <c r="A323" s="14" t="n"/>
      <c r="B323" s="7" t="n"/>
      <c r="C323" s="7" t="n"/>
      <c r="D323" s="7" t="n"/>
      <c r="E323" s="15" t="n"/>
      <c r="F323" s="15" t="n"/>
      <c r="G323" s="15" t="n"/>
      <c r="H323" s="16" t="n"/>
      <c r="I323" s="16" t="n"/>
      <c r="J323" s="12">
        <f>IF(OR(E323="",F323=""),"",ROUND((MOD(F323-E323,1)-N(G323))*24,2))</f>
        <v/>
      </c>
      <c r="K323" s="12">
        <f>IF(OR(A323="",B323=""),"",SUMIFS(Paradas!$F$5:$F$1004,Paradas!$A$5:$A$1004,A323,Paradas!$B$5:$B$1004,B323))</f>
        <v/>
      </c>
      <c r="L323" s="12">
        <f>IF(J323="","",J323-N(K323))</f>
        <v/>
      </c>
      <c r="M323" s="13">
        <f>IF(OR(A323="",B323=""),"",COUNTIFS(Paradas!$A$5:$A$1004,A323,Paradas!$B$5:$B$1004,B323))</f>
        <v/>
      </c>
      <c r="N323" s="12">
        <f>IF(OR(H323="",I323=""),"",I323-H323)</f>
        <v/>
      </c>
      <c r="O323" s="7" t="n"/>
    </row>
    <row r="324">
      <c r="A324" s="14" t="n"/>
      <c r="B324" s="7" t="n"/>
      <c r="C324" s="7" t="n"/>
      <c r="D324" s="7" t="n"/>
      <c r="E324" s="15" t="n"/>
      <c r="F324" s="15" t="n"/>
      <c r="G324" s="15" t="n"/>
      <c r="H324" s="16" t="n"/>
      <c r="I324" s="16" t="n"/>
      <c r="J324" s="12">
        <f>IF(OR(E324="",F324=""),"",ROUND((MOD(F324-E324,1)-N(G324))*24,2))</f>
        <v/>
      </c>
      <c r="K324" s="12">
        <f>IF(OR(A324="",B324=""),"",SUMIFS(Paradas!$F$5:$F$1004,Paradas!$A$5:$A$1004,A324,Paradas!$B$5:$B$1004,B324))</f>
        <v/>
      </c>
      <c r="L324" s="12">
        <f>IF(J324="","",J324-N(K324))</f>
        <v/>
      </c>
      <c r="M324" s="13">
        <f>IF(OR(A324="",B324=""),"",COUNTIFS(Paradas!$A$5:$A$1004,A324,Paradas!$B$5:$B$1004,B324))</f>
        <v/>
      </c>
      <c r="N324" s="12">
        <f>IF(OR(H324="",I324=""),"",I324-H324)</f>
        <v/>
      </c>
      <c r="O324" s="7" t="n"/>
    </row>
    <row r="325">
      <c r="A325" s="14" t="n"/>
      <c r="B325" s="7" t="n"/>
      <c r="C325" s="7" t="n"/>
      <c r="D325" s="7" t="n"/>
      <c r="E325" s="15" t="n"/>
      <c r="F325" s="15" t="n"/>
      <c r="G325" s="15" t="n"/>
      <c r="H325" s="16" t="n"/>
      <c r="I325" s="16" t="n"/>
      <c r="J325" s="12">
        <f>IF(OR(E325="",F325=""),"",ROUND((MOD(F325-E325,1)-N(G325))*24,2))</f>
        <v/>
      </c>
      <c r="K325" s="12">
        <f>IF(OR(A325="",B325=""),"",SUMIFS(Paradas!$F$5:$F$1004,Paradas!$A$5:$A$1004,A325,Paradas!$B$5:$B$1004,B325))</f>
        <v/>
      </c>
      <c r="L325" s="12">
        <f>IF(J325="","",J325-N(K325))</f>
        <v/>
      </c>
      <c r="M325" s="13">
        <f>IF(OR(A325="",B325=""),"",COUNTIFS(Paradas!$A$5:$A$1004,A325,Paradas!$B$5:$B$1004,B325))</f>
        <v/>
      </c>
      <c r="N325" s="12">
        <f>IF(OR(H325="",I325=""),"",I325-H325)</f>
        <v/>
      </c>
      <c r="O325" s="7" t="n"/>
    </row>
    <row r="326">
      <c r="A326" s="14" t="n"/>
      <c r="B326" s="7" t="n"/>
      <c r="C326" s="7" t="n"/>
      <c r="D326" s="7" t="n"/>
      <c r="E326" s="15" t="n"/>
      <c r="F326" s="15" t="n"/>
      <c r="G326" s="15" t="n"/>
      <c r="H326" s="16" t="n"/>
      <c r="I326" s="16" t="n"/>
      <c r="J326" s="12">
        <f>IF(OR(E326="",F326=""),"",ROUND((MOD(F326-E326,1)-N(G326))*24,2))</f>
        <v/>
      </c>
      <c r="K326" s="12">
        <f>IF(OR(A326="",B326=""),"",SUMIFS(Paradas!$F$5:$F$1004,Paradas!$A$5:$A$1004,A326,Paradas!$B$5:$B$1004,B326))</f>
        <v/>
      </c>
      <c r="L326" s="12">
        <f>IF(J326="","",J326-N(K326))</f>
        <v/>
      </c>
      <c r="M326" s="13">
        <f>IF(OR(A326="",B326=""),"",COUNTIFS(Paradas!$A$5:$A$1004,A326,Paradas!$B$5:$B$1004,B326))</f>
        <v/>
      </c>
      <c r="N326" s="12">
        <f>IF(OR(H326="",I326=""),"",I326-H326)</f>
        <v/>
      </c>
      <c r="O326" s="7" t="n"/>
    </row>
    <row r="327">
      <c r="A327" s="14" t="n"/>
      <c r="B327" s="7" t="n"/>
      <c r="C327" s="7" t="n"/>
      <c r="D327" s="7" t="n"/>
      <c r="E327" s="15" t="n"/>
      <c r="F327" s="15" t="n"/>
      <c r="G327" s="15" t="n"/>
      <c r="H327" s="16" t="n"/>
      <c r="I327" s="16" t="n"/>
      <c r="J327" s="12">
        <f>IF(OR(E327="",F327=""),"",ROUND((MOD(F327-E327,1)-N(G327))*24,2))</f>
        <v/>
      </c>
      <c r="K327" s="12">
        <f>IF(OR(A327="",B327=""),"",SUMIFS(Paradas!$F$5:$F$1004,Paradas!$A$5:$A$1004,A327,Paradas!$B$5:$B$1004,B327))</f>
        <v/>
      </c>
      <c r="L327" s="12">
        <f>IF(J327="","",J327-N(K327))</f>
        <v/>
      </c>
      <c r="M327" s="13">
        <f>IF(OR(A327="",B327=""),"",COUNTIFS(Paradas!$A$5:$A$1004,A327,Paradas!$B$5:$B$1004,B327))</f>
        <v/>
      </c>
      <c r="N327" s="12">
        <f>IF(OR(H327="",I327=""),"",I327-H327)</f>
        <v/>
      </c>
      <c r="O327" s="7" t="n"/>
    </row>
    <row r="328">
      <c r="A328" s="14" t="n"/>
      <c r="B328" s="7" t="n"/>
      <c r="C328" s="7" t="n"/>
      <c r="D328" s="7" t="n"/>
      <c r="E328" s="15" t="n"/>
      <c r="F328" s="15" t="n"/>
      <c r="G328" s="15" t="n"/>
      <c r="H328" s="16" t="n"/>
      <c r="I328" s="16" t="n"/>
      <c r="J328" s="12">
        <f>IF(OR(E328="",F328=""),"",ROUND((MOD(F328-E328,1)-N(G328))*24,2))</f>
        <v/>
      </c>
      <c r="K328" s="12">
        <f>IF(OR(A328="",B328=""),"",SUMIFS(Paradas!$F$5:$F$1004,Paradas!$A$5:$A$1004,A328,Paradas!$B$5:$B$1004,B328))</f>
        <v/>
      </c>
      <c r="L328" s="12">
        <f>IF(J328="","",J328-N(K328))</f>
        <v/>
      </c>
      <c r="M328" s="13">
        <f>IF(OR(A328="",B328=""),"",COUNTIFS(Paradas!$A$5:$A$1004,A328,Paradas!$B$5:$B$1004,B328))</f>
        <v/>
      </c>
      <c r="N328" s="12">
        <f>IF(OR(H328="",I328=""),"",I328-H328)</f>
        <v/>
      </c>
      <c r="O328" s="7" t="n"/>
    </row>
    <row r="329">
      <c r="A329" s="14" t="n"/>
      <c r="B329" s="7" t="n"/>
      <c r="C329" s="7" t="n"/>
      <c r="D329" s="7" t="n"/>
      <c r="E329" s="15" t="n"/>
      <c r="F329" s="15" t="n"/>
      <c r="G329" s="15" t="n"/>
      <c r="H329" s="16" t="n"/>
      <c r="I329" s="16" t="n"/>
      <c r="J329" s="12">
        <f>IF(OR(E329="",F329=""),"",ROUND((MOD(F329-E329,1)-N(G329))*24,2))</f>
        <v/>
      </c>
      <c r="K329" s="12">
        <f>IF(OR(A329="",B329=""),"",SUMIFS(Paradas!$F$5:$F$1004,Paradas!$A$5:$A$1004,A329,Paradas!$B$5:$B$1004,B329))</f>
        <v/>
      </c>
      <c r="L329" s="12">
        <f>IF(J329="","",J329-N(K329))</f>
        <v/>
      </c>
      <c r="M329" s="13">
        <f>IF(OR(A329="",B329=""),"",COUNTIFS(Paradas!$A$5:$A$1004,A329,Paradas!$B$5:$B$1004,B329))</f>
        <v/>
      </c>
      <c r="N329" s="12">
        <f>IF(OR(H329="",I329=""),"",I329-H329)</f>
        <v/>
      </c>
      <c r="O329" s="7" t="n"/>
    </row>
    <row r="330">
      <c r="A330" s="14" t="n"/>
      <c r="B330" s="7" t="n"/>
      <c r="C330" s="7" t="n"/>
      <c r="D330" s="7" t="n"/>
      <c r="E330" s="15" t="n"/>
      <c r="F330" s="15" t="n"/>
      <c r="G330" s="15" t="n"/>
      <c r="H330" s="16" t="n"/>
      <c r="I330" s="16" t="n"/>
      <c r="J330" s="12">
        <f>IF(OR(E330="",F330=""),"",ROUND((MOD(F330-E330,1)-N(G330))*24,2))</f>
        <v/>
      </c>
      <c r="K330" s="12">
        <f>IF(OR(A330="",B330=""),"",SUMIFS(Paradas!$F$5:$F$1004,Paradas!$A$5:$A$1004,A330,Paradas!$B$5:$B$1004,B330))</f>
        <v/>
      </c>
      <c r="L330" s="12">
        <f>IF(J330="","",J330-N(K330))</f>
        <v/>
      </c>
      <c r="M330" s="13">
        <f>IF(OR(A330="",B330=""),"",COUNTIFS(Paradas!$A$5:$A$1004,A330,Paradas!$B$5:$B$1004,B330))</f>
        <v/>
      </c>
      <c r="N330" s="12">
        <f>IF(OR(H330="",I330=""),"",I330-H330)</f>
        <v/>
      </c>
      <c r="O330" s="7" t="n"/>
    </row>
    <row r="331">
      <c r="A331" s="14" t="n"/>
      <c r="B331" s="7" t="n"/>
      <c r="C331" s="7" t="n"/>
      <c r="D331" s="7" t="n"/>
      <c r="E331" s="15" t="n"/>
      <c r="F331" s="15" t="n"/>
      <c r="G331" s="15" t="n"/>
      <c r="H331" s="16" t="n"/>
      <c r="I331" s="16" t="n"/>
      <c r="J331" s="12">
        <f>IF(OR(E331="",F331=""),"",ROUND((MOD(F331-E331,1)-N(G331))*24,2))</f>
        <v/>
      </c>
      <c r="K331" s="12">
        <f>IF(OR(A331="",B331=""),"",SUMIFS(Paradas!$F$5:$F$1004,Paradas!$A$5:$A$1004,A331,Paradas!$B$5:$B$1004,B331))</f>
        <v/>
      </c>
      <c r="L331" s="12">
        <f>IF(J331="","",J331-N(K331))</f>
        <v/>
      </c>
      <c r="M331" s="13">
        <f>IF(OR(A331="",B331=""),"",COUNTIFS(Paradas!$A$5:$A$1004,A331,Paradas!$B$5:$B$1004,B331))</f>
        <v/>
      </c>
      <c r="N331" s="12">
        <f>IF(OR(H331="",I331=""),"",I331-H331)</f>
        <v/>
      </c>
      <c r="O331" s="7" t="n"/>
    </row>
    <row r="332">
      <c r="A332" s="14" t="n"/>
      <c r="B332" s="7" t="n"/>
      <c r="C332" s="7" t="n"/>
      <c r="D332" s="7" t="n"/>
      <c r="E332" s="15" t="n"/>
      <c r="F332" s="15" t="n"/>
      <c r="G332" s="15" t="n"/>
      <c r="H332" s="16" t="n"/>
      <c r="I332" s="16" t="n"/>
      <c r="J332" s="12">
        <f>IF(OR(E332="",F332=""),"",ROUND((MOD(F332-E332,1)-N(G332))*24,2))</f>
        <v/>
      </c>
      <c r="K332" s="12">
        <f>IF(OR(A332="",B332=""),"",SUMIFS(Paradas!$F$5:$F$1004,Paradas!$A$5:$A$1004,A332,Paradas!$B$5:$B$1004,B332))</f>
        <v/>
      </c>
      <c r="L332" s="12">
        <f>IF(J332="","",J332-N(K332))</f>
        <v/>
      </c>
      <c r="M332" s="13">
        <f>IF(OR(A332="",B332=""),"",COUNTIFS(Paradas!$A$5:$A$1004,A332,Paradas!$B$5:$B$1004,B332))</f>
        <v/>
      </c>
      <c r="N332" s="12">
        <f>IF(OR(H332="",I332=""),"",I332-H332)</f>
        <v/>
      </c>
      <c r="O332" s="7" t="n"/>
    </row>
    <row r="333">
      <c r="A333" s="14" t="n"/>
      <c r="B333" s="7" t="n"/>
      <c r="C333" s="7" t="n"/>
      <c r="D333" s="7" t="n"/>
      <c r="E333" s="15" t="n"/>
      <c r="F333" s="15" t="n"/>
      <c r="G333" s="15" t="n"/>
      <c r="H333" s="16" t="n"/>
      <c r="I333" s="16" t="n"/>
      <c r="J333" s="12">
        <f>IF(OR(E333="",F333=""),"",ROUND((MOD(F333-E333,1)-N(G333))*24,2))</f>
        <v/>
      </c>
      <c r="K333" s="12">
        <f>IF(OR(A333="",B333=""),"",SUMIFS(Paradas!$F$5:$F$1004,Paradas!$A$5:$A$1004,A333,Paradas!$B$5:$B$1004,B333))</f>
        <v/>
      </c>
      <c r="L333" s="12">
        <f>IF(J333="","",J333-N(K333))</f>
        <v/>
      </c>
      <c r="M333" s="13">
        <f>IF(OR(A333="",B333=""),"",COUNTIFS(Paradas!$A$5:$A$1004,A333,Paradas!$B$5:$B$1004,B333))</f>
        <v/>
      </c>
      <c r="N333" s="12">
        <f>IF(OR(H333="",I333=""),"",I333-H333)</f>
        <v/>
      </c>
      <c r="O333" s="7" t="n"/>
    </row>
    <row r="334">
      <c r="A334" s="14" t="n"/>
      <c r="B334" s="7" t="n"/>
      <c r="C334" s="7" t="n"/>
      <c r="D334" s="7" t="n"/>
      <c r="E334" s="15" t="n"/>
      <c r="F334" s="15" t="n"/>
      <c r="G334" s="15" t="n"/>
      <c r="H334" s="16" t="n"/>
      <c r="I334" s="16" t="n"/>
      <c r="J334" s="12">
        <f>IF(OR(E334="",F334=""),"",ROUND((MOD(F334-E334,1)-N(G334))*24,2))</f>
        <v/>
      </c>
      <c r="K334" s="12">
        <f>IF(OR(A334="",B334=""),"",SUMIFS(Paradas!$F$5:$F$1004,Paradas!$A$5:$A$1004,A334,Paradas!$B$5:$B$1004,B334))</f>
        <v/>
      </c>
      <c r="L334" s="12">
        <f>IF(J334="","",J334-N(K334))</f>
        <v/>
      </c>
      <c r="M334" s="13">
        <f>IF(OR(A334="",B334=""),"",COUNTIFS(Paradas!$A$5:$A$1004,A334,Paradas!$B$5:$B$1004,B334))</f>
        <v/>
      </c>
      <c r="N334" s="12">
        <f>IF(OR(H334="",I334=""),"",I334-H334)</f>
        <v/>
      </c>
      <c r="O334" s="7" t="n"/>
    </row>
    <row r="335">
      <c r="A335" s="14" t="n"/>
      <c r="B335" s="7" t="n"/>
      <c r="C335" s="7" t="n"/>
      <c r="D335" s="7" t="n"/>
      <c r="E335" s="15" t="n"/>
      <c r="F335" s="15" t="n"/>
      <c r="G335" s="15" t="n"/>
      <c r="H335" s="16" t="n"/>
      <c r="I335" s="16" t="n"/>
      <c r="J335" s="12">
        <f>IF(OR(E335="",F335=""),"",ROUND((MOD(F335-E335,1)-N(G335))*24,2))</f>
        <v/>
      </c>
      <c r="K335" s="12">
        <f>IF(OR(A335="",B335=""),"",SUMIFS(Paradas!$F$5:$F$1004,Paradas!$A$5:$A$1004,A335,Paradas!$B$5:$B$1004,B335))</f>
        <v/>
      </c>
      <c r="L335" s="12">
        <f>IF(J335="","",J335-N(K335))</f>
        <v/>
      </c>
      <c r="M335" s="13">
        <f>IF(OR(A335="",B335=""),"",COUNTIFS(Paradas!$A$5:$A$1004,A335,Paradas!$B$5:$B$1004,B335))</f>
        <v/>
      </c>
      <c r="N335" s="12">
        <f>IF(OR(H335="",I335=""),"",I335-H335)</f>
        <v/>
      </c>
      <c r="O335" s="7" t="n"/>
    </row>
    <row r="336">
      <c r="A336" s="14" t="n"/>
      <c r="B336" s="7" t="n"/>
      <c r="C336" s="7" t="n"/>
      <c r="D336" s="7" t="n"/>
      <c r="E336" s="15" t="n"/>
      <c r="F336" s="15" t="n"/>
      <c r="G336" s="15" t="n"/>
      <c r="H336" s="16" t="n"/>
      <c r="I336" s="16" t="n"/>
      <c r="J336" s="12">
        <f>IF(OR(E336="",F336=""),"",ROUND((MOD(F336-E336,1)-N(G336))*24,2))</f>
        <v/>
      </c>
      <c r="K336" s="12">
        <f>IF(OR(A336="",B336=""),"",SUMIFS(Paradas!$F$5:$F$1004,Paradas!$A$5:$A$1004,A336,Paradas!$B$5:$B$1004,B336))</f>
        <v/>
      </c>
      <c r="L336" s="12">
        <f>IF(J336="","",J336-N(K336))</f>
        <v/>
      </c>
      <c r="M336" s="13">
        <f>IF(OR(A336="",B336=""),"",COUNTIFS(Paradas!$A$5:$A$1004,A336,Paradas!$B$5:$B$1004,B336))</f>
        <v/>
      </c>
      <c r="N336" s="12">
        <f>IF(OR(H336="",I336=""),"",I336-H336)</f>
        <v/>
      </c>
      <c r="O336" s="7" t="n"/>
    </row>
    <row r="337">
      <c r="A337" s="14" t="n"/>
      <c r="B337" s="7" t="n"/>
      <c r="C337" s="7" t="n"/>
      <c r="D337" s="7" t="n"/>
      <c r="E337" s="15" t="n"/>
      <c r="F337" s="15" t="n"/>
      <c r="G337" s="15" t="n"/>
      <c r="H337" s="16" t="n"/>
      <c r="I337" s="16" t="n"/>
      <c r="J337" s="12">
        <f>IF(OR(E337="",F337=""),"",ROUND((MOD(F337-E337,1)-N(G337))*24,2))</f>
        <v/>
      </c>
      <c r="K337" s="12">
        <f>IF(OR(A337="",B337=""),"",SUMIFS(Paradas!$F$5:$F$1004,Paradas!$A$5:$A$1004,A337,Paradas!$B$5:$B$1004,B337))</f>
        <v/>
      </c>
      <c r="L337" s="12">
        <f>IF(J337="","",J337-N(K337))</f>
        <v/>
      </c>
      <c r="M337" s="13">
        <f>IF(OR(A337="",B337=""),"",COUNTIFS(Paradas!$A$5:$A$1004,A337,Paradas!$B$5:$B$1004,B337))</f>
        <v/>
      </c>
      <c r="N337" s="12">
        <f>IF(OR(H337="",I337=""),"",I337-H337)</f>
        <v/>
      </c>
      <c r="O337" s="7" t="n"/>
    </row>
    <row r="338">
      <c r="A338" s="14" t="n"/>
      <c r="B338" s="7" t="n"/>
      <c r="C338" s="7" t="n"/>
      <c r="D338" s="7" t="n"/>
      <c r="E338" s="15" t="n"/>
      <c r="F338" s="15" t="n"/>
      <c r="G338" s="15" t="n"/>
      <c r="H338" s="16" t="n"/>
      <c r="I338" s="16" t="n"/>
      <c r="J338" s="12">
        <f>IF(OR(E338="",F338=""),"",ROUND((MOD(F338-E338,1)-N(G338))*24,2))</f>
        <v/>
      </c>
      <c r="K338" s="12">
        <f>IF(OR(A338="",B338=""),"",SUMIFS(Paradas!$F$5:$F$1004,Paradas!$A$5:$A$1004,A338,Paradas!$B$5:$B$1004,B338))</f>
        <v/>
      </c>
      <c r="L338" s="12">
        <f>IF(J338="","",J338-N(K338))</f>
        <v/>
      </c>
      <c r="M338" s="13">
        <f>IF(OR(A338="",B338=""),"",COUNTIFS(Paradas!$A$5:$A$1004,A338,Paradas!$B$5:$B$1004,B338))</f>
        <v/>
      </c>
      <c r="N338" s="12">
        <f>IF(OR(H338="",I338=""),"",I338-H338)</f>
        <v/>
      </c>
      <c r="O338" s="7" t="n"/>
    </row>
    <row r="339">
      <c r="A339" s="14" t="n"/>
      <c r="B339" s="7" t="n"/>
      <c r="C339" s="7" t="n"/>
      <c r="D339" s="7" t="n"/>
      <c r="E339" s="15" t="n"/>
      <c r="F339" s="15" t="n"/>
      <c r="G339" s="15" t="n"/>
      <c r="H339" s="16" t="n"/>
      <c r="I339" s="16" t="n"/>
      <c r="J339" s="12">
        <f>IF(OR(E339="",F339=""),"",ROUND((MOD(F339-E339,1)-N(G339))*24,2))</f>
        <v/>
      </c>
      <c r="K339" s="12">
        <f>IF(OR(A339="",B339=""),"",SUMIFS(Paradas!$F$5:$F$1004,Paradas!$A$5:$A$1004,A339,Paradas!$B$5:$B$1004,B339))</f>
        <v/>
      </c>
      <c r="L339" s="12">
        <f>IF(J339="","",J339-N(K339))</f>
        <v/>
      </c>
      <c r="M339" s="13">
        <f>IF(OR(A339="",B339=""),"",COUNTIFS(Paradas!$A$5:$A$1004,A339,Paradas!$B$5:$B$1004,B339))</f>
        <v/>
      </c>
      <c r="N339" s="12">
        <f>IF(OR(H339="",I339=""),"",I339-H339)</f>
        <v/>
      </c>
      <c r="O339" s="7" t="n"/>
    </row>
    <row r="340">
      <c r="A340" s="14" t="n"/>
      <c r="B340" s="7" t="n"/>
      <c r="C340" s="7" t="n"/>
      <c r="D340" s="7" t="n"/>
      <c r="E340" s="15" t="n"/>
      <c r="F340" s="15" t="n"/>
      <c r="G340" s="15" t="n"/>
      <c r="H340" s="16" t="n"/>
      <c r="I340" s="16" t="n"/>
      <c r="J340" s="12">
        <f>IF(OR(E340="",F340=""),"",ROUND((MOD(F340-E340,1)-N(G340))*24,2))</f>
        <v/>
      </c>
      <c r="K340" s="12">
        <f>IF(OR(A340="",B340=""),"",SUMIFS(Paradas!$F$5:$F$1004,Paradas!$A$5:$A$1004,A340,Paradas!$B$5:$B$1004,B340))</f>
        <v/>
      </c>
      <c r="L340" s="12">
        <f>IF(J340="","",J340-N(K340))</f>
        <v/>
      </c>
      <c r="M340" s="13">
        <f>IF(OR(A340="",B340=""),"",COUNTIFS(Paradas!$A$5:$A$1004,A340,Paradas!$B$5:$B$1004,B340))</f>
        <v/>
      </c>
      <c r="N340" s="12">
        <f>IF(OR(H340="",I340=""),"",I340-H340)</f>
        <v/>
      </c>
      <c r="O340" s="7" t="n"/>
    </row>
    <row r="341">
      <c r="A341" s="14" t="n"/>
      <c r="B341" s="7" t="n"/>
      <c r="C341" s="7" t="n"/>
      <c r="D341" s="7" t="n"/>
      <c r="E341" s="15" t="n"/>
      <c r="F341" s="15" t="n"/>
      <c r="G341" s="15" t="n"/>
      <c r="H341" s="16" t="n"/>
      <c r="I341" s="16" t="n"/>
      <c r="J341" s="12">
        <f>IF(OR(E341="",F341=""),"",ROUND((MOD(F341-E341,1)-N(G341))*24,2))</f>
        <v/>
      </c>
      <c r="K341" s="12">
        <f>IF(OR(A341="",B341=""),"",SUMIFS(Paradas!$F$5:$F$1004,Paradas!$A$5:$A$1004,A341,Paradas!$B$5:$B$1004,B341))</f>
        <v/>
      </c>
      <c r="L341" s="12">
        <f>IF(J341="","",J341-N(K341))</f>
        <v/>
      </c>
      <c r="M341" s="13">
        <f>IF(OR(A341="",B341=""),"",COUNTIFS(Paradas!$A$5:$A$1004,A341,Paradas!$B$5:$B$1004,B341))</f>
        <v/>
      </c>
      <c r="N341" s="12">
        <f>IF(OR(H341="",I341=""),"",I341-H341)</f>
        <v/>
      </c>
      <c r="O341" s="7" t="n"/>
    </row>
    <row r="342">
      <c r="A342" s="14" t="n"/>
      <c r="B342" s="7" t="n"/>
      <c r="C342" s="7" t="n"/>
      <c r="D342" s="7" t="n"/>
      <c r="E342" s="15" t="n"/>
      <c r="F342" s="15" t="n"/>
      <c r="G342" s="15" t="n"/>
      <c r="H342" s="16" t="n"/>
      <c r="I342" s="16" t="n"/>
      <c r="J342" s="12">
        <f>IF(OR(E342="",F342=""),"",ROUND((MOD(F342-E342,1)-N(G342))*24,2))</f>
        <v/>
      </c>
      <c r="K342" s="12">
        <f>IF(OR(A342="",B342=""),"",SUMIFS(Paradas!$F$5:$F$1004,Paradas!$A$5:$A$1004,A342,Paradas!$B$5:$B$1004,B342))</f>
        <v/>
      </c>
      <c r="L342" s="12">
        <f>IF(J342="","",J342-N(K342))</f>
        <v/>
      </c>
      <c r="M342" s="13">
        <f>IF(OR(A342="",B342=""),"",COUNTIFS(Paradas!$A$5:$A$1004,A342,Paradas!$B$5:$B$1004,B342))</f>
        <v/>
      </c>
      <c r="N342" s="12">
        <f>IF(OR(H342="",I342=""),"",I342-H342)</f>
        <v/>
      </c>
      <c r="O342" s="7" t="n"/>
    </row>
    <row r="343">
      <c r="A343" s="14" t="n"/>
      <c r="B343" s="7" t="n"/>
      <c r="C343" s="7" t="n"/>
      <c r="D343" s="7" t="n"/>
      <c r="E343" s="15" t="n"/>
      <c r="F343" s="15" t="n"/>
      <c r="G343" s="15" t="n"/>
      <c r="H343" s="16" t="n"/>
      <c r="I343" s="16" t="n"/>
      <c r="J343" s="12">
        <f>IF(OR(E343="",F343=""),"",ROUND((MOD(F343-E343,1)-N(G343))*24,2))</f>
        <v/>
      </c>
      <c r="K343" s="12">
        <f>IF(OR(A343="",B343=""),"",SUMIFS(Paradas!$F$5:$F$1004,Paradas!$A$5:$A$1004,A343,Paradas!$B$5:$B$1004,B343))</f>
        <v/>
      </c>
      <c r="L343" s="12">
        <f>IF(J343="","",J343-N(K343))</f>
        <v/>
      </c>
      <c r="M343" s="13">
        <f>IF(OR(A343="",B343=""),"",COUNTIFS(Paradas!$A$5:$A$1004,A343,Paradas!$B$5:$B$1004,B343))</f>
        <v/>
      </c>
      <c r="N343" s="12">
        <f>IF(OR(H343="",I343=""),"",I343-H343)</f>
        <v/>
      </c>
      <c r="O343" s="7" t="n"/>
    </row>
    <row r="344">
      <c r="A344" s="14" t="n"/>
      <c r="B344" s="7" t="n"/>
      <c r="C344" s="7" t="n"/>
      <c r="D344" s="7" t="n"/>
      <c r="E344" s="15" t="n"/>
      <c r="F344" s="15" t="n"/>
      <c r="G344" s="15" t="n"/>
      <c r="H344" s="16" t="n"/>
      <c r="I344" s="16" t="n"/>
      <c r="J344" s="12">
        <f>IF(OR(E344="",F344=""),"",ROUND((MOD(F344-E344,1)-N(G344))*24,2))</f>
        <v/>
      </c>
      <c r="K344" s="12">
        <f>IF(OR(A344="",B344=""),"",SUMIFS(Paradas!$F$5:$F$1004,Paradas!$A$5:$A$1004,A344,Paradas!$B$5:$B$1004,B344))</f>
        <v/>
      </c>
      <c r="L344" s="12">
        <f>IF(J344="","",J344-N(K344))</f>
        <v/>
      </c>
      <c r="M344" s="13">
        <f>IF(OR(A344="",B344=""),"",COUNTIFS(Paradas!$A$5:$A$1004,A344,Paradas!$B$5:$B$1004,B344))</f>
        <v/>
      </c>
      <c r="N344" s="12">
        <f>IF(OR(H344="",I344=""),"",I344-H344)</f>
        <v/>
      </c>
      <c r="O344" s="7" t="n"/>
    </row>
    <row r="345">
      <c r="A345" s="14" t="n"/>
      <c r="B345" s="7" t="n"/>
      <c r="C345" s="7" t="n"/>
      <c r="D345" s="7" t="n"/>
      <c r="E345" s="15" t="n"/>
      <c r="F345" s="15" t="n"/>
      <c r="G345" s="15" t="n"/>
      <c r="H345" s="16" t="n"/>
      <c r="I345" s="16" t="n"/>
      <c r="J345" s="12">
        <f>IF(OR(E345="",F345=""),"",ROUND((MOD(F345-E345,1)-N(G345))*24,2))</f>
        <v/>
      </c>
      <c r="K345" s="12">
        <f>IF(OR(A345="",B345=""),"",SUMIFS(Paradas!$F$5:$F$1004,Paradas!$A$5:$A$1004,A345,Paradas!$B$5:$B$1004,B345))</f>
        <v/>
      </c>
      <c r="L345" s="12">
        <f>IF(J345="","",J345-N(K345))</f>
        <v/>
      </c>
      <c r="M345" s="13">
        <f>IF(OR(A345="",B345=""),"",COUNTIFS(Paradas!$A$5:$A$1004,A345,Paradas!$B$5:$B$1004,B345))</f>
        <v/>
      </c>
      <c r="N345" s="12">
        <f>IF(OR(H345="",I345=""),"",I345-H345)</f>
        <v/>
      </c>
      <c r="O345" s="7" t="n"/>
    </row>
    <row r="346">
      <c r="A346" s="14" t="n"/>
      <c r="B346" s="7" t="n"/>
      <c r="C346" s="7" t="n"/>
      <c r="D346" s="7" t="n"/>
      <c r="E346" s="15" t="n"/>
      <c r="F346" s="15" t="n"/>
      <c r="G346" s="15" t="n"/>
      <c r="H346" s="16" t="n"/>
      <c r="I346" s="16" t="n"/>
      <c r="J346" s="12">
        <f>IF(OR(E346="",F346=""),"",ROUND((MOD(F346-E346,1)-N(G346))*24,2))</f>
        <v/>
      </c>
      <c r="K346" s="12">
        <f>IF(OR(A346="",B346=""),"",SUMIFS(Paradas!$F$5:$F$1004,Paradas!$A$5:$A$1004,A346,Paradas!$B$5:$B$1004,B346))</f>
        <v/>
      </c>
      <c r="L346" s="12">
        <f>IF(J346="","",J346-N(K346))</f>
        <v/>
      </c>
      <c r="M346" s="13">
        <f>IF(OR(A346="",B346=""),"",COUNTIFS(Paradas!$A$5:$A$1004,A346,Paradas!$B$5:$B$1004,B346))</f>
        <v/>
      </c>
      <c r="N346" s="12">
        <f>IF(OR(H346="",I346=""),"",I346-H346)</f>
        <v/>
      </c>
      <c r="O346" s="7" t="n"/>
    </row>
    <row r="347">
      <c r="A347" s="14" t="n"/>
      <c r="B347" s="7" t="n"/>
      <c r="C347" s="7" t="n"/>
      <c r="D347" s="7" t="n"/>
      <c r="E347" s="15" t="n"/>
      <c r="F347" s="15" t="n"/>
      <c r="G347" s="15" t="n"/>
      <c r="H347" s="16" t="n"/>
      <c r="I347" s="16" t="n"/>
      <c r="J347" s="12">
        <f>IF(OR(E347="",F347=""),"",ROUND((MOD(F347-E347,1)-N(G347))*24,2))</f>
        <v/>
      </c>
      <c r="K347" s="12">
        <f>IF(OR(A347="",B347=""),"",SUMIFS(Paradas!$F$5:$F$1004,Paradas!$A$5:$A$1004,A347,Paradas!$B$5:$B$1004,B347))</f>
        <v/>
      </c>
      <c r="L347" s="12">
        <f>IF(J347="","",J347-N(K347))</f>
        <v/>
      </c>
      <c r="M347" s="13">
        <f>IF(OR(A347="",B347=""),"",COUNTIFS(Paradas!$A$5:$A$1004,A347,Paradas!$B$5:$B$1004,B347))</f>
        <v/>
      </c>
      <c r="N347" s="12">
        <f>IF(OR(H347="",I347=""),"",I347-H347)</f>
        <v/>
      </c>
      <c r="O347" s="7" t="n"/>
    </row>
    <row r="348">
      <c r="A348" s="14" t="n"/>
      <c r="B348" s="7" t="n"/>
      <c r="C348" s="7" t="n"/>
      <c r="D348" s="7" t="n"/>
      <c r="E348" s="15" t="n"/>
      <c r="F348" s="15" t="n"/>
      <c r="G348" s="15" t="n"/>
      <c r="H348" s="16" t="n"/>
      <c r="I348" s="16" t="n"/>
      <c r="J348" s="12">
        <f>IF(OR(E348="",F348=""),"",ROUND((MOD(F348-E348,1)-N(G348))*24,2))</f>
        <v/>
      </c>
      <c r="K348" s="12">
        <f>IF(OR(A348="",B348=""),"",SUMIFS(Paradas!$F$5:$F$1004,Paradas!$A$5:$A$1004,A348,Paradas!$B$5:$B$1004,B348))</f>
        <v/>
      </c>
      <c r="L348" s="12">
        <f>IF(J348="","",J348-N(K348))</f>
        <v/>
      </c>
      <c r="M348" s="13">
        <f>IF(OR(A348="",B348=""),"",COUNTIFS(Paradas!$A$5:$A$1004,A348,Paradas!$B$5:$B$1004,B348))</f>
        <v/>
      </c>
      <c r="N348" s="12">
        <f>IF(OR(H348="",I348=""),"",I348-H348)</f>
        <v/>
      </c>
      <c r="O348" s="7" t="n"/>
    </row>
    <row r="349">
      <c r="A349" s="14" t="n"/>
      <c r="B349" s="7" t="n"/>
      <c r="C349" s="7" t="n"/>
      <c r="D349" s="7" t="n"/>
      <c r="E349" s="15" t="n"/>
      <c r="F349" s="15" t="n"/>
      <c r="G349" s="15" t="n"/>
      <c r="H349" s="16" t="n"/>
      <c r="I349" s="16" t="n"/>
      <c r="J349" s="12">
        <f>IF(OR(E349="",F349=""),"",ROUND((MOD(F349-E349,1)-N(G349))*24,2))</f>
        <v/>
      </c>
      <c r="K349" s="12">
        <f>IF(OR(A349="",B349=""),"",SUMIFS(Paradas!$F$5:$F$1004,Paradas!$A$5:$A$1004,A349,Paradas!$B$5:$B$1004,B349))</f>
        <v/>
      </c>
      <c r="L349" s="12">
        <f>IF(J349="","",J349-N(K349))</f>
        <v/>
      </c>
      <c r="M349" s="13">
        <f>IF(OR(A349="",B349=""),"",COUNTIFS(Paradas!$A$5:$A$1004,A349,Paradas!$B$5:$B$1004,B349))</f>
        <v/>
      </c>
      <c r="N349" s="12">
        <f>IF(OR(H349="",I349=""),"",I349-H349)</f>
        <v/>
      </c>
      <c r="O349" s="7" t="n"/>
    </row>
    <row r="350">
      <c r="A350" s="14" t="n"/>
      <c r="B350" s="7" t="n"/>
      <c r="C350" s="7" t="n"/>
      <c r="D350" s="7" t="n"/>
      <c r="E350" s="15" t="n"/>
      <c r="F350" s="15" t="n"/>
      <c r="G350" s="15" t="n"/>
      <c r="H350" s="16" t="n"/>
      <c r="I350" s="16" t="n"/>
      <c r="J350" s="12">
        <f>IF(OR(E350="",F350=""),"",ROUND((MOD(F350-E350,1)-N(G350))*24,2))</f>
        <v/>
      </c>
      <c r="K350" s="12">
        <f>IF(OR(A350="",B350=""),"",SUMIFS(Paradas!$F$5:$F$1004,Paradas!$A$5:$A$1004,A350,Paradas!$B$5:$B$1004,B350))</f>
        <v/>
      </c>
      <c r="L350" s="12">
        <f>IF(J350="","",J350-N(K350))</f>
        <v/>
      </c>
      <c r="M350" s="13">
        <f>IF(OR(A350="",B350=""),"",COUNTIFS(Paradas!$A$5:$A$1004,A350,Paradas!$B$5:$B$1004,B350))</f>
        <v/>
      </c>
      <c r="N350" s="12">
        <f>IF(OR(H350="",I350=""),"",I350-H350)</f>
        <v/>
      </c>
      <c r="O350" s="7" t="n"/>
    </row>
    <row r="351">
      <c r="A351" s="14" t="n"/>
      <c r="B351" s="7" t="n"/>
      <c r="C351" s="7" t="n"/>
      <c r="D351" s="7" t="n"/>
      <c r="E351" s="15" t="n"/>
      <c r="F351" s="15" t="n"/>
      <c r="G351" s="15" t="n"/>
      <c r="H351" s="16" t="n"/>
      <c r="I351" s="16" t="n"/>
      <c r="J351" s="12">
        <f>IF(OR(E351="",F351=""),"",ROUND((MOD(F351-E351,1)-N(G351))*24,2))</f>
        <v/>
      </c>
      <c r="K351" s="12">
        <f>IF(OR(A351="",B351=""),"",SUMIFS(Paradas!$F$5:$F$1004,Paradas!$A$5:$A$1004,A351,Paradas!$B$5:$B$1004,B351))</f>
        <v/>
      </c>
      <c r="L351" s="12">
        <f>IF(J351="","",J351-N(K351))</f>
        <v/>
      </c>
      <c r="M351" s="13">
        <f>IF(OR(A351="",B351=""),"",COUNTIFS(Paradas!$A$5:$A$1004,A351,Paradas!$B$5:$B$1004,B351))</f>
        <v/>
      </c>
      <c r="N351" s="12">
        <f>IF(OR(H351="",I351=""),"",I351-H351)</f>
        <v/>
      </c>
      <c r="O351" s="7" t="n"/>
    </row>
    <row r="352">
      <c r="A352" s="14" t="n"/>
      <c r="B352" s="7" t="n"/>
      <c r="C352" s="7" t="n"/>
      <c r="D352" s="7" t="n"/>
      <c r="E352" s="15" t="n"/>
      <c r="F352" s="15" t="n"/>
      <c r="G352" s="15" t="n"/>
      <c r="H352" s="16" t="n"/>
      <c r="I352" s="16" t="n"/>
      <c r="J352" s="12">
        <f>IF(OR(E352="",F352=""),"",ROUND((MOD(F352-E352,1)-N(G352))*24,2))</f>
        <v/>
      </c>
      <c r="K352" s="12">
        <f>IF(OR(A352="",B352=""),"",SUMIFS(Paradas!$F$5:$F$1004,Paradas!$A$5:$A$1004,A352,Paradas!$B$5:$B$1004,B352))</f>
        <v/>
      </c>
      <c r="L352" s="12">
        <f>IF(J352="","",J352-N(K352))</f>
        <v/>
      </c>
      <c r="M352" s="13">
        <f>IF(OR(A352="",B352=""),"",COUNTIFS(Paradas!$A$5:$A$1004,A352,Paradas!$B$5:$B$1004,B352))</f>
        <v/>
      </c>
      <c r="N352" s="12">
        <f>IF(OR(H352="",I352=""),"",I352-H352)</f>
        <v/>
      </c>
      <c r="O352" s="7" t="n"/>
    </row>
    <row r="353">
      <c r="A353" s="14" t="n"/>
      <c r="B353" s="7" t="n"/>
      <c r="C353" s="7" t="n"/>
      <c r="D353" s="7" t="n"/>
      <c r="E353" s="15" t="n"/>
      <c r="F353" s="15" t="n"/>
      <c r="G353" s="15" t="n"/>
      <c r="H353" s="16" t="n"/>
      <c r="I353" s="16" t="n"/>
      <c r="J353" s="12">
        <f>IF(OR(E353="",F353=""),"",ROUND((MOD(F353-E353,1)-N(G353))*24,2))</f>
        <v/>
      </c>
      <c r="K353" s="12">
        <f>IF(OR(A353="",B353=""),"",SUMIFS(Paradas!$F$5:$F$1004,Paradas!$A$5:$A$1004,A353,Paradas!$B$5:$B$1004,B353))</f>
        <v/>
      </c>
      <c r="L353" s="12">
        <f>IF(J353="","",J353-N(K353))</f>
        <v/>
      </c>
      <c r="M353" s="13">
        <f>IF(OR(A353="",B353=""),"",COUNTIFS(Paradas!$A$5:$A$1004,A353,Paradas!$B$5:$B$1004,B353))</f>
        <v/>
      </c>
      <c r="N353" s="12">
        <f>IF(OR(H353="",I353=""),"",I353-H353)</f>
        <v/>
      </c>
      <c r="O353" s="7" t="n"/>
    </row>
    <row r="354">
      <c r="A354" s="14" t="n"/>
      <c r="B354" s="7" t="n"/>
      <c r="C354" s="7" t="n"/>
      <c r="D354" s="7" t="n"/>
      <c r="E354" s="15" t="n"/>
      <c r="F354" s="15" t="n"/>
      <c r="G354" s="15" t="n"/>
      <c r="H354" s="16" t="n"/>
      <c r="I354" s="16" t="n"/>
      <c r="J354" s="12">
        <f>IF(OR(E354="",F354=""),"",ROUND((MOD(F354-E354,1)-N(G354))*24,2))</f>
        <v/>
      </c>
      <c r="K354" s="12">
        <f>IF(OR(A354="",B354=""),"",SUMIFS(Paradas!$F$5:$F$1004,Paradas!$A$5:$A$1004,A354,Paradas!$B$5:$B$1004,B354))</f>
        <v/>
      </c>
      <c r="L354" s="12">
        <f>IF(J354="","",J354-N(K354))</f>
        <v/>
      </c>
      <c r="M354" s="13">
        <f>IF(OR(A354="",B354=""),"",COUNTIFS(Paradas!$A$5:$A$1004,A354,Paradas!$B$5:$B$1004,B354))</f>
        <v/>
      </c>
      <c r="N354" s="12">
        <f>IF(OR(H354="",I354=""),"",I354-H354)</f>
        <v/>
      </c>
      <c r="O354" s="7" t="n"/>
    </row>
    <row r="355">
      <c r="A355" s="14" t="n"/>
      <c r="B355" s="7" t="n"/>
      <c r="C355" s="7" t="n"/>
      <c r="D355" s="7" t="n"/>
      <c r="E355" s="15" t="n"/>
      <c r="F355" s="15" t="n"/>
      <c r="G355" s="15" t="n"/>
      <c r="H355" s="16" t="n"/>
      <c r="I355" s="16" t="n"/>
      <c r="J355" s="12">
        <f>IF(OR(E355="",F355=""),"",ROUND((MOD(F355-E355,1)-N(G355))*24,2))</f>
        <v/>
      </c>
      <c r="K355" s="12">
        <f>IF(OR(A355="",B355=""),"",SUMIFS(Paradas!$F$5:$F$1004,Paradas!$A$5:$A$1004,A355,Paradas!$B$5:$B$1004,B355))</f>
        <v/>
      </c>
      <c r="L355" s="12">
        <f>IF(J355="","",J355-N(K355))</f>
        <v/>
      </c>
      <c r="M355" s="13">
        <f>IF(OR(A355="",B355=""),"",COUNTIFS(Paradas!$A$5:$A$1004,A355,Paradas!$B$5:$B$1004,B355))</f>
        <v/>
      </c>
      <c r="N355" s="12">
        <f>IF(OR(H355="",I355=""),"",I355-H355)</f>
        <v/>
      </c>
      <c r="O355" s="7" t="n"/>
    </row>
    <row r="356">
      <c r="A356" s="14" t="n"/>
      <c r="B356" s="7" t="n"/>
      <c r="C356" s="7" t="n"/>
      <c r="D356" s="7" t="n"/>
      <c r="E356" s="15" t="n"/>
      <c r="F356" s="15" t="n"/>
      <c r="G356" s="15" t="n"/>
      <c r="H356" s="16" t="n"/>
      <c r="I356" s="16" t="n"/>
      <c r="J356" s="12">
        <f>IF(OR(E356="",F356=""),"",ROUND((MOD(F356-E356,1)-N(G356))*24,2))</f>
        <v/>
      </c>
      <c r="K356" s="12">
        <f>IF(OR(A356="",B356=""),"",SUMIFS(Paradas!$F$5:$F$1004,Paradas!$A$5:$A$1004,A356,Paradas!$B$5:$B$1004,B356))</f>
        <v/>
      </c>
      <c r="L356" s="12">
        <f>IF(J356="","",J356-N(K356))</f>
        <v/>
      </c>
      <c r="M356" s="13">
        <f>IF(OR(A356="",B356=""),"",COUNTIFS(Paradas!$A$5:$A$1004,A356,Paradas!$B$5:$B$1004,B356))</f>
        <v/>
      </c>
      <c r="N356" s="12">
        <f>IF(OR(H356="",I356=""),"",I356-H356)</f>
        <v/>
      </c>
      <c r="O356" s="7" t="n"/>
    </row>
    <row r="357">
      <c r="A357" s="14" t="n"/>
      <c r="B357" s="7" t="n"/>
      <c r="C357" s="7" t="n"/>
      <c r="D357" s="7" t="n"/>
      <c r="E357" s="15" t="n"/>
      <c r="F357" s="15" t="n"/>
      <c r="G357" s="15" t="n"/>
      <c r="H357" s="16" t="n"/>
      <c r="I357" s="16" t="n"/>
      <c r="J357" s="12">
        <f>IF(OR(E357="",F357=""),"",ROUND((MOD(F357-E357,1)-N(G357))*24,2))</f>
        <v/>
      </c>
      <c r="K357" s="12">
        <f>IF(OR(A357="",B357=""),"",SUMIFS(Paradas!$F$5:$F$1004,Paradas!$A$5:$A$1004,A357,Paradas!$B$5:$B$1004,B357))</f>
        <v/>
      </c>
      <c r="L357" s="12">
        <f>IF(J357="","",J357-N(K357))</f>
        <v/>
      </c>
      <c r="M357" s="13">
        <f>IF(OR(A357="",B357=""),"",COUNTIFS(Paradas!$A$5:$A$1004,A357,Paradas!$B$5:$B$1004,B357))</f>
        <v/>
      </c>
      <c r="N357" s="12">
        <f>IF(OR(H357="",I357=""),"",I357-H357)</f>
        <v/>
      </c>
      <c r="O357" s="7" t="n"/>
    </row>
    <row r="358">
      <c r="A358" s="14" t="n"/>
      <c r="B358" s="7" t="n"/>
      <c r="C358" s="7" t="n"/>
      <c r="D358" s="7" t="n"/>
      <c r="E358" s="15" t="n"/>
      <c r="F358" s="15" t="n"/>
      <c r="G358" s="15" t="n"/>
      <c r="H358" s="16" t="n"/>
      <c r="I358" s="16" t="n"/>
      <c r="J358" s="12">
        <f>IF(OR(E358="",F358=""),"",ROUND((MOD(F358-E358,1)-N(G358))*24,2))</f>
        <v/>
      </c>
      <c r="K358" s="12">
        <f>IF(OR(A358="",B358=""),"",SUMIFS(Paradas!$F$5:$F$1004,Paradas!$A$5:$A$1004,A358,Paradas!$B$5:$B$1004,B358))</f>
        <v/>
      </c>
      <c r="L358" s="12">
        <f>IF(J358="","",J358-N(K358))</f>
        <v/>
      </c>
      <c r="M358" s="13">
        <f>IF(OR(A358="",B358=""),"",COUNTIFS(Paradas!$A$5:$A$1004,A358,Paradas!$B$5:$B$1004,B358))</f>
        <v/>
      </c>
      <c r="N358" s="12">
        <f>IF(OR(H358="",I358=""),"",I358-H358)</f>
        <v/>
      </c>
      <c r="O358" s="7" t="n"/>
    </row>
    <row r="359">
      <c r="A359" s="14" t="n"/>
      <c r="B359" s="7" t="n"/>
      <c r="C359" s="7" t="n"/>
      <c r="D359" s="7" t="n"/>
      <c r="E359" s="15" t="n"/>
      <c r="F359" s="15" t="n"/>
      <c r="G359" s="15" t="n"/>
      <c r="H359" s="16" t="n"/>
      <c r="I359" s="16" t="n"/>
      <c r="J359" s="12">
        <f>IF(OR(E359="",F359=""),"",ROUND((MOD(F359-E359,1)-N(G359))*24,2))</f>
        <v/>
      </c>
      <c r="K359" s="12">
        <f>IF(OR(A359="",B359=""),"",SUMIFS(Paradas!$F$5:$F$1004,Paradas!$A$5:$A$1004,A359,Paradas!$B$5:$B$1004,B359))</f>
        <v/>
      </c>
      <c r="L359" s="12">
        <f>IF(J359="","",J359-N(K359))</f>
        <v/>
      </c>
      <c r="M359" s="13">
        <f>IF(OR(A359="",B359=""),"",COUNTIFS(Paradas!$A$5:$A$1004,A359,Paradas!$B$5:$B$1004,B359))</f>
        <v/>
      </c>
      <c r="N359" s="12">
        <f>IF(OR(H359="",I359=""),"",I359-H359)</f>
        <v/>
      </c>
      <c r="O359" s="7" t="n"/>
    </row>
    <row r="360">
      <c r="A360" s="14" t="n"/>
      <c r="B360" s="7" t="n"/>
      <c r="C360" s="7" t="n"/>
      <c r="D360" s="7" t="n"/>
      <c r="E360" s="15" t="n"/>
      <c r="F360" s="15" t="n"/>
      <c r="G360" s="15" t="n"/>
      <c r="H360" s="16" t="n"/>
      <c r="I360" s="16" t="n"/>
      <c r="J360" s="12">
        <f>IF(OR(E360="",F360=""),"",ROUND((MOD(F360-E360,1)-N(G360))*24,2))</f>
        <v/>
      </c>
      <c r="K360" s="12">
        <f>IF(OR(A360="",B360=""),"",SUMIFS(Paradas!$F$5:$F$1004,Paradas!$A$5:$A$1004,A360,Paradas!$B$5:$B$1004,B360))</f>
        <v/>
      </c>
      <c r="L360" s="12">
        <f>IF(J360="","",J360-N(K360))</f>
        <v/>
      </c>
      <c r="M360" s="13">
        <f>IF(OR(A360="",B360=""),"",COUNTIFS(Paradas!$A$5:$A$1004,A360,Paradas!$B$5:$B$1004,B360))</f>
        <v/>
      </c>
      <c r="N360" s="12">
        <f>IF(OR(H360="",I360=""),"",I360-H360)</f>
        <v/>
      </c>
      <c r="O360" s="7" t="n"/>
    </row>
    <row r="361">
      <c r="A361" s="14" t="n"/>
      <c r="B361" s="7" t="n"/>
      <c r="C361" s="7" t="n"/>
      <c r="D361" s="7" t="n"/>
      <c r="E361" s="15" t="n"/>
      <c r="F361" s="15" t="n"/>
      <c r="G361" s="15" t="n"/>
      <c r="H361" s="16" t="n"/>
      <c r="I361" s="16" t="n"/>
      <c r="J361" s="12">
        <f>IF(OR(E361="",F361=""),"",ROUND((MOD(F361-E361,1)-N(G361))*24,2))</f>
        <v/>
      </c>
      <c r="K361" s="12">
        <f>IF(OR(A361="",B361=""),"",SUMIFS(Paradas!$F$5:$F$1004,Paradas!$A$5:$A$1004,A361,Paradas!$B$5:$B$1004,B361))</f>
        <v/>
      </c>
      <c r="L361" s="12">
        <f>IF(J361="","",J361-N(K361))</f>
        <v/>
      </c>
      <c r="M361" s="13">
        <f>IF(OR(A361="",B361=""),"",COUNTIFS(Paradas!$A$5:$A$1004,A361,Paradas!$B$5:$B$1004,B361))</f>
        <v/>
      </c>
      <c r="N361" s="12">
        <f>IF(OR(H361="",I361=""),"",I361-H361)</f>
        <v/>
      </c>
      <c r="O361" s="7" t="n"/>
    </row>
    <row r="362">
      <c r="A362" s="14" t="n"/>
      <c r="B362" s="7" t="n"/>
      <c r="C362" s="7" t="n"/>
      <c r="D362" s="7" t="n"/>
      <c r="E362" s="15" t="n"/>
      <c r="F362" s="15" t="n"/>
      <c r="G362" s="15" t="n"/>
      <c r="H362" s="16" t="n"/>
      <c r="I362" s="16" t="n"/>
      <c r="J362" s="12">
        <f>IF(OR(E362="",F362=""),"",ROUND((MOD(F362-E362,1)-N(G362))*24,2))</f>
        <v/>
      </c>
      <c r="K362" s="12">
        <f>IF(OR(A362="",B362=""),"",SUMIFS(Paradas!$F$5:$F$1004,Paradas!$A$5:$A$1004,A362,Paradas!$B$5:$B$1004,B362))</f>
        <v/>
      </c>
      <c r="L362" s="12">
        <f>IF(J362="","",J362-N(K362))</f>
        <v/>
      </c>
      <c r="M362" s="13">
        <f>IF(OR(A362="",B362=""),"",COUNTIFS(Paradas!$A$5:$A$1004,A362,Paradas!$B$5:$B$1004,B362))</f>
        <v/>
      </c>
      <c r="N362" s="12">
        <f>IF(OR(H362="",I362=""),"",I362-H362)</f>
        <v/>
      </c>
      <c r="O362" s="7" t="n"/>
    </row>
    <row r="363">
      <c r="A363" s="14" t="n"/>
      <c r="B363" s="7" t="n"/>
      <c r="C363" s="7" t="n"/>
      <c r="D363" s="7" t="n"/>
      <c r="E363" s="15" t="n"/>
      <c r="F363" s="15" t="n"/>
      <c r="G363" s="15" t="n"/>
      <c r="H363" s="16" t="n"/>
      <c r="I363" s="16" t="n"/>
      <c r="J363" s="12">
        <f>IF(OR(E363="",F363=""),"",ROUND((MOD(F363-E363,1)-N(G363))*24,2))</f>
        <v/>
      </c>
      <c r="K363" s="12">
        <f>IF(OR(A363="",B363=""),"",SUMIFS(Paradas!$F$5:$F$1004,Paradas!$A$5:$A$1004,A363,Paradas!$B$5:$B$1004,B363))</f>
        <v/>
      </c>
      <c r="L363" s="12">
        <f>IF(J363="","",J363-N(K363))</f>
        <v/>
      </c>
      <c r="M363" s="13">
        <f>IF(OR(A363="",B363=""),"",COUNTIFS(Paradas!$A$5:$A$1004,A363,Paradas!$B$5:$B$1004,B363))</f>
        <v/>
      </c>
      <c r="N363" s="12">
        <f>IF(OR(H363="",I363=""),"",I363-H363)</f>
        <v/>
      </c>
      <c r="O363" s="7" t="n"/>
    </row>
    <row r="364">
      <c r="A364" s="14" t="n"/>
      <c r="B364" s="7" t="n"/>
      <c r="C364" s="7" t="n"/>
      <c r="D364" s="7" t="n"/>
      <c r="E364" s="15" t="n"/>
      <c r="F364" s="15" t="n"/>
      <c r="G364" s="15" t="n"/>
      <c r="H364" s="16" t="n"/>
      <c r="I364" s="16" t="n"/>
      <c r="J364" s="12">
        <f>IF(OR(E364="",F364=""),"",ROUND((MOD(F364-E364,1)-N(G364))*24,2))</f>
        <v/>
      </c>
      <c r="K364" s="12">
        <f>IF(OR(A364="",B364=""),"",SUMIFS(Paradas!$F$5:$F$1004,Paradas!$A$5:$A$1004,A364,Paradas!$B$5:$B$1004,B364))</f>
        <v/>
      </c>
      <c r="L364" s="12">
        <f>IF(J364="","",J364-N(K364))</f>
        <v/>
      </c>
      <c r="M364" s="13">
        <f>IF(OR(A364="",B364=""),"",COUNTIFS(Paradas!$A$5:$A$1004,A364,Paradas!$B$5:$B$1004,B364))</f>
        <v/>
      </c>
      <c r="N364" s="12">
        <f>IF(OR(H364="",I364=""),"",I364-H364)</f>
        <v/>
      </c>
      <c r="O364" s="7" t="n"/>
    </row>
    <row r="365">
      <c r="A365" s="14" t="n"/>
      <c r="B365" s="7" t="n"/>
      <c r="C365" s="7" t="n"/>
      <c r="D365" s="7" t="n"/>
      <c r="E365" s="15" t="n"/>
      <c r="F365" s="15" t="n"/>
      <c r="G365" s="15" t="n"/>
      <c r="H365" s="16" t="n"/>
      <c r="I365" s="16" t="n"/>
      <c r="J365" s="12">
        <f>IF(OR(E365="",F365=""),"",ROUND((MOD(F365-E365,1)-N(G365))*24,2))</f>
        <v/>
      </c>
      <c r="K365" s="12">
        <f>IF(OR(A365="",B365=""),"",SUMIFS(Paradas!$F$5:$F$1004,Paradas!$A$5:$A$1004,A365,Paradas!$B$5:$B$1004,B365))</f>
        <v/>
      </c>
      <c r="L365" s="12">
        <f>IF(J365="","",J365-N(K365))</f>
        <v/>
      </c>
      <c r="M365" s="13">
        <f>IF(OR(A365="",B365=""),"",COUNTIFS(Paradas!$A$5:$A$1004,A365,Paradas!$B$5:$B$1004,B365))</f>
        <v/>
      </c>
      <c r="N365" s="12">
        <f>IF(OR(H365="",I365=""),"",I365-H365)</f>
        <v/>
      </c>
      <c r="O365" s="7" t="n"/>
    </row>
    <row r="366">
      <c r="A366" s="14" t="n"/>
      <c r="B366" s="7" t="n"/>
      <c r="C366" s="7" t="n"/>
      <c r="D366" s="7" t="n"/>
      <c r="E366" s="15" t="n"/>
      <c r="F366" s="15" t="n"/>
      <c r="G366" s="15" t="n"/>
      <c r="H366" s="16" t="n"/>
      <c r="I366" s="16" t="n"/>
      <c r="J366" s="12">
        <f>IF(OR(E366="",F366=""),"",ROUND((MOD(F366-E366,1)-N(G366))*24,2))</f>
        <v/>
      </c>
      <c r="K366" s="12">
        <f>IF(OR(A366="",B366=""),"",SUMIFS(Paradas!$F$5:$F$1004,Paradas!$A$5:$A$1004,A366,Paradas!$B$5:$B$1004,B366))</f>
        <v/>
      </c>
      <c r="L366" s="12">
        <f>IF(J366="","",J366-N(K366))</f>
        <v/>
      </c>
      <c r="M366" s="13">
        <f>IF(OR(A366="",B366=""),"",COUNTIFS(Paradas!$A$5:$A$1004,A366,Paradas!$B$5:$B$1004,B366))</f>
        <v/>
      </c>
      <c r="N366" s="12">
        <f>IF(OR(H366="",I366=""),"",I366-H366)</f>
        <v/>
      </c>
      <c r="O366" s="7" t="n"/>
    </row>
    <row r="367">
      <c r="A367" s="14" t="n"/>
      <c r="B367" s="7" t="n"/>
      <c r="C367" s="7" t="n"/>
      <c r="D367" s="7" t="n"/>
      <c r="E367" s="15" t="n"/>
      <c r="F367" s="15" t="n"/>
      <c r="G367" s="15" t="n"/>
      <c r="H367" s="16" t="n"/>
      <c r="I367" s="16" t="n"/>
      <c r="J367" s="12">
        <f>IF(OR(E367="",F367=""),"",ROUND((MOD(F367-E367,1)-N(G367))*24,2))</f>
        <v/>
      </c>
      <c r="K367" s="12">
        <f>IF(OR(A367="",B367=""),"",SUMIFS(Paradas!$F$5:$F$1004,Paradas!$A$5:$A$1004,A367,Paradas!$B$5:$B$1004,B367))</f>
        <v/>
      </c>
      <c r="L367" s="12">
        <f>IF(J367="","",J367-N(K367))</f>
        <v/>
      </c>
      <c r="M367" s="13">
        <f>IF(OR(A367="",B367=""),"",COUNTIFS(Paradas!$A$5:$A$1004,A367,Paradas!$B$5:$B$1004,B367))</f>
        <v/>
      </c>
      <c r="N367" s="12">
        <f>IF(OR(H367="",I367=""),"",I367-H367)</f>
        <v/>
      </c>
      <c r="O367" s="7" t="n"/>
    </row>
    <row r="368">
      <c r="A368" s="14" t="n"/>
      <c r="B368" s="7" t="n"/>
      <c r="C368" s="7" t="n"/>
      <c r="D368" s="7" t="n"/>
      <c r="E368" s="15" t="n"/>
      <c r="F368" s="15" t="n"/>
      <c r="G368" s="15" t="n"/>
      <c r="H368" s="16" t="n"/>
      <c r="I368" s="16" t="n"/>
      <c r="J368" s="12">
        <f>IF(OR(E368="",F368=""),"",ROUND((MOD(F368-E368,1)-N(G368))*24,2))</f>
        <v/>
      </c>
      <c r="K368" s="12">
        <f>IF(OR(A368="",B368=""),"",SUMIFS(Paradas!$F$5:$F$1004,Paradas!$A$5:$A$1004,A368,Paradas!$B$5:$B$1004,B368))</f>
        <v/>
      </c>
      <c r="L368" s="12">
        <f>IF(J368="","",J368-N(K368))</f>
        <v/>
      </c>
      <c r="M368" s="13">
        <f>IF(OR(A368="",B368=""),"",COUNTIFS(Paradas!$A$5:$A$1004,A368,Paradas!$B$5:$B$1004,B368))</f>
        <v/>
      </c>
      <c r="N368" s="12">
        <f>IF(OR(H368="",I368=""),"",I368-H368)</f>
        <v/>
      </c>
      <c r="O368" s="7" t="n"/>
    </row>
    <row r="369">
      <c r="A369" s="14" t="n"/>
      <c r="B369" s="7" t="n"/>
      <c r="C369" s="7" t="n"/>
      <c r="D369" s="7" t="n"/>
      <c r="E369" s="15" t="n"/>
      <c r="F369" s="15" t="n"/>
      <c r="G369" s="15" t="n"/>
      <c r="H369" s="16" t="n"/>
      <c r="I369" s="16" t="n"/>
      <c r="J369" s="12">
        <f>IF(OR(E369="",F369=""),"",ROUND((MOD(F369-E369,1)-N(G369))*24,2))</f>
        <v/>
      </c>
      <c r="K369" s="12">
        <f>IF(OR(A369="",B369=""),"",SUMIFS(Paradas!$F$5:$F$1004,Paradas!$A$5:$A$1004,A369,Paradas!$B$5:$B$1004,B369))</f>
        <v/>
      </c>
      <c r="L369" s="12">
        <f>IF(J369="","",J369-N(K369))</f>
        <v/>
      </c>
      <c r="M369" s="13">
        <f>IF(OR(A369="",B369=""),"",COUNTIFS(Paradas!$A$5:$A$1004,A369,Paradas!$B$5:$B$1004,B369))</f>
        <v/>
      </c>
      <c r="N369" s="12">
        <f>IF(OR(H369="",I369=""),"",I369-H369)</f>
        <v/>
      </c>
      <c r="O369" s="7" t="n"/>
    </row>
    <row r="370">
      <c r="A370" s="14" t="n"/>
      <c r="B370" s="7" t="n"/>
      <c r="C370" s="7" t="n"/>
      <c r="D370" s="7" t="n"/>
      <c r="E370" s="15" t="n"/>
      <c r="F370" s="15" t="n"/>
      <c r="G370" s="15" t="n"/>
      <c r="H370" s="16" t="n"/>
      <c r="I370" s="16" t="n"/>
      <c r="J370" s="12">
        <f>IF(OR(E370="",F370=""),"",ROUND((MOD(F370-E370,1)-N(G370))*24,2))</f>
        <v/>
      </c>
      <c r="K370" s="12">
        <f>IF(OR(A370="",B370=""),"",SUMIFS(Paradas!$F$5:$F$1004,Paradas!$A$5:$A$1004,A370,Paradas!$B$5:$B$1004,B370))</f>
        <v/>
      </c>
      <c r="L370" s="12">
        <f>IF(J370="","",J370-N(K370))</f>
        <v/>
      </c>
      <c r="M370" s="13">
        <f>IF(OR(A370="",B370=""),"",COUNTIFS(Paradas!$A$5:$A$1004,A370,Paradas!$B$5:$B$1004,B370))</f>
        <v/>
      </c>
      <c r="N370" s="12">
        <f>IF(OR(H370="",I370=""),"",I370-H370)</f>
        <v/>
      </c>
      <c r="O370" s="7" t="n"/>
    </row>
    <row r="371">
      <c r="A371" s="14" t="n"/>
      <c r="B371" s="7" t="n"/>
      <c r="C371" s="7" t="n"/>
      <c r="D371" s="7" t="n"/>
      <c r="E371" s="15" t="n"/>
      <c r="F371" s="15" t="n"/>
      <c r="G371" s="15" t="n"/>
      <c r="H371" s="16" t="n"/>
      <c r="I371" s="16" t="n"/>
      <c r="J371" s="12">
        <f>IF(OR(E371="",F371=""),"",ROUND((MOD(F371-E371,1)-N(G371))*24,2))</f>
        <v/>
      </c>
      <c r="K371" s="12">
        <f>IF(OR(A371="",B371=""),"",SUMIFS(Paradas!$F$5:$F$1004,Paradas!$A$5:$A$1004,A371,Paradas!$B$5:$B$1004,B371))</f>
        <v/>
      </c>
      <c r="L371" s="12">
        <f>IF(J371="","",J371-N(K371))</f>
        <v/>
      </c>
      <c r="M371" s="13">
        <f>IF(OR(A371="",B371=""),"",COUNTIFS(Paradas!$A$5:$A$1004,A371,Paradas!$B$5:$B$1004,B371))</f>
        <v/>
      </c>
      <c r="N371" s="12">
        <f>IF(OR(H371="",I371=""),"",I371-H371)</f>
        <v/>
      </c>
      <c r="O371" s="7" t="n"/>
    </row>
    <row r="372">
      <c r="A372" s="14" t="n"/>
      <c r="B372" s="7" t="n"/>
      <c r="C372" s="7" t="n"/>
      <c r="D372" s="7" t="n"/>
      <c r="E372" s="15" t="n"/>
      <c r="F372" s="15" t="n"/>
      <c r="G372" s="15" t="n"/>
      <c r="H372" s="16" t="n"/>
      <c r="I372" s="16" t="n"/>
      <c r="J372" s="12">
        <f>IF(OR(E372="",F372=""),"",ROUND((MOD(F372-E372,1)-N(G372))*24,2))</f>
        <v/>
      </c>
      <c r="K372" s="12">
        <f>IF(OR(A372="",B372=""),"",SUMIFS(Paradas!$F$5:$F$1004,Paradas!$A$5:$A$1004,A372,Paradas!$B$5:$B$1004,B372))</f>
        <v/>
      </c>
      <c r="L372" s="12">
        <f>IF(J372="","",J372-N(K372))</f>
        <v/>
      </c>
      <c r="M372" s="13">
        <f>IF(OR(A372="",B372=""),"",COUNTIFS(Paradas!$A$5:$A$1004,A372,Paradas!$B$5:$B$1004,B372))</f>
        <v/>
      </c>
      <c r="N372" s="12">
        <f>IF(OR(H372="",I372=""),"",I372-H372)</f>
        <v/>
      </c>
      <c r="O372" s="7" t="n"/>
    </row>
    <row r="373">
      <c r="A373" s="14" t="n"/>
      <c r="B373" s="7" t="n"/>
      <c r="C373" s="7" t="n"/>
      <c r="D373" s="7" t="n"/>
      <c r="E373" s="15" t="n"/>
      <c r="F373" s="15" t="n"/>
      <c r="G373" s="15" t="n"/>
      <c r="H373" s="16" t="n"/>
      <c r="I373" s="16" t="n"/>
      <c r="J373" s="12">
        <f>IF(OR(E373="",F373=""),"",ROUND((MOD(F373-E373,1)-N(G373))*24,2))</f>
        <v/>
      </c>
      <c r="K373" s="12">
        <f>IF(OR(A373="",B373=""),"",SUMIFS(Paradas!$F$5:$F$1004,Paradas!$A$5:$A$1004,A373,Paradas!$B$5:$B$1004,B373))</f>
        <v/>
      </c>
      <c r="L373" s="12">
        <f>IF(J373="","",J373-N(K373))</f>
        <v/>
      </c>
      <c r="M373" s="13">
        <f>IF(OR(A373="",B373=""),"",COUNTIFS(Paradas!$A$5:$A$1004,A373,Paradas!$B$5:$B$1004,B373))</f>
        <v/>
      </c>
      <c r="N373" s="12">
        <f>IF(OR(H373="",I373=""),"",I373-H373)</f>
        <v/>
      </c>
      <c r="O373" s="7" t="n"/>
    </row>
    <row r="374">
      <c r="A374" s="14" t="n"/>
      <c r="B374" s="7" t="n"/>
      <c r="C374" s="7" t="n"/>
      <c r="D374" s="7" t="n"/>
      <c r="E374" s="15" t="n"/>
      <c r="F374" s="15" t="n"/>
      <c r="G374" s="15" t="n"/>
      <c r="H374" s="16" t="n"/>
      <c r="I374" s="16" t="n"/>
      <c r="J374" s="12">
        <f>IF(OR(E374="",F374=""),"",ROUND((MOD(F374-E374,1)-N(G374))*24,2))</f>
        <v/>
      </c>
      <c r="K374" s="12">
        <f>IF(OR(A374="",B374=""),"",SUMIFS(Paradas!$F$5:$F$1004,Paradas!$A$5:$A$1004,A374,Paradas!$B$5:$B$1004,B374))</f>
        <v/>
      </c>
      <c r="L374" s="12">
        <f>IF(J374="","",J374-N(K374))</f>
        <v/>
      </c>
      <c r="M374" s="13">
        <f>IF(OR(A374="",B374=""),"",COUNTIFS(Paradas!$A$5:$A$1004,A374,Paradas!$B$5:$B$1004,B374))</f>
        <v/>
      </c>
      <c r="N374" s="12">
        <f>IF(OR(H374="",I374=""),"",I374-H374)</f>
        <v/>
      </c>
      <c r="O374" s="7" t="n"/>
    </row>
    <row r="375">
      <c r="A375" s="14" t="n"/>
      <c r="B375" s="7" t="n"/>
      <c r="C375" s="7" t="n"/>
      <c r="D375" s="7" t="n"/>
      <c r="E375" s="15" t="n"/>
      <c r="F375" s="15" t="n"/>
      <c r="G375" s="15" t="n"/>
      <c r="H375" s="16" t="n"/>
      <c r="I375" s="16" t="n"/>
      <c r="J375" s="12">
        <f>IF(OR(E375="",F375=""),"",ROUND((MOD(F375-E375,1)-N(G375))*24,2))</f>
        <v/>
      </c>
      <c r="K375" s="12">
        <f>IF(OR(A375="",B375=""),"",SUMIFS(Paradas!$F$5:$F$1004,Paradas!$A$5:$A$1004,A375,Paradas!$B$5:$B$1004,B375))</f>
        <v/>
      </c>
      <c r="L375" s="12">
        <f>IF(J375="","",J375-N(K375))</f>
        <v/>
      </c>
      <c r="M375" s="13">
        <f>IF(OR(A375="",B375=""),"",COUNTIFS(Paradas!$A$5:$A$1004,A375,Paradas!$B$5:$B$1004,B375))</f>
        <v/>
      </c>
      <c r="N375" s="12">
        <f>IF(OR(H375="",I375=""),"",I375-H375)</f>
        <v/>
      </c>
      <c r="O375" s="7" t="n"/>
    </row>
    <row r="376">
      <c r="A376" s="14" t="n"/>
      <c r="B376" s="7" t="n"/>
      <c r="C376" s="7" t="n"/>
      <c r="D376" s="7" t="n"/>
      <c r="E376" s="15" t="n"/>
      <c r="F376" s="15" t="n"/>
      <c r="G376" s="15" t="n"/>
      <c r="H376" s="16" t="n"/>
      <c r="I376" s="16" t="n"/>
      <c r="J376" s="12">
        <f>IF(OR(E376="",F376=""),"",ROUND((MOD(F376-E376,1)-N(G376))*24,2))</f>
        <v/>
      </c>
      <c r="K376" s="12">
        <f>IF(OR(A376="",B376=""),"",SUMIFS(Paradas!$F$5:$F$1004,Paradas!$A$5:$A$1004,A376,Paradas!$B$5:$B$1004,B376))</f>
        <v/>
      </c>
      <c r="L376" s="12">
        <f>IF(J376="","",J376-N(K376))</f>
        <v/>
      </c>
      <c r="M376" s="13">
        <f>IF(OR(A376="",B376=""),"",COUNTIFS(Paradas!$A$5:$A$1004,A376,Paradas!$B$5:$B$1004,B376))</f>
        <v/>
      </c>
      <c r="N376" s="12">
        <f>IF(OR(H376="",I376=""),"",I376-H376)</f>
        <v/>
      </c>
      <c r="O376" s="7" t="n"/>
    </row>
    <row r="377">
      <c r="A377" s="14" t="n"/>
      <c r="B377" s="7" t="n"/>
      <c r="C377" s="7" t="n"/>
      <c r="D377" s="7" t="n"/>
      <c r="E377" s="15" t="n"/>
      <c r="F377" s="15" t="n"/>
      <c r="G377" s="15" t="n"/>
      <c r="H377" s="16" t="n"/>
      <c r="I377" s="16" t="n"/>
      <c r="J377" s="12">
        <f>IF(OR(E377="",F377=""),"",ROUND((MOD(F377-E377,1)-N(G377))*24,2))</f>
        <v/>
      </c>
      <c r="K377" s="12">
        <f>IF(OR(A377="",B377=""),"",SUMIFS(Paradas!$F$5:$F$1004,Paradas!$A$5:$A$1004,A377,Paradas!$B$5:$B$1004,B377))</f>
        <v/>
      </c>
      <c r="L377" s="12">
        <f>IF(J377="","",J377-N(K377))</f>
        <v/>
      </c>
      <c r="M377" s="13">
        <f>IF(OR(A377="",B377=""),"",COUNTIFS(Paradas!$A$5:$A$1004,A377,Paradas!$B$5:$B$1004,B377))</f>
        <v/>
      </c>
      <c r="N377" s="12">
        <f>IF(OR(H377="",I377=""),"",I377-H377)</f>
        <v/>
      </c>
      <c r="O377" s="7" t="n"/>
    </row>
    <row r="378">
      <c r="A378" s="14" t="n"/>
      <c r="B378" s="7" t="n"/>
      <c r="C378" s="7" t="n"/>
      <c r="D378" s="7" t="n"/>
      <c r="E378" s="15" t="n"/>
      <c r="F378" s="15" t="n"/>
      <c r="G378" s="15" t="n"/>
      <c r="H378" s="16" t="n"/>
      <c r="I378" s="16" t="n"/>
      <c r="J378" s="12">
        <f>IF(OR(E378="",F378=""),"",ROUND((MOD(F378-E378,1)-N(G378))*24,2))</f>
        <v/>
      </c>
      <c r="K378" s="12">
        <f>IF(OR(A378="",B378=""),"",SUMIFS(Paradas!$F$5:$F$1004,Paradas!$A$5:$A$1004,A378,Paradas!$B$5:$B$1004,B378))</f>
        <v/>
      </c>
      <c r="L378" s="12">
        <f>IF(J378="","",J378-N(K378))</f>
        <v/>
      </c>
      <c r="M378" s="13">
        <f>IF(OR(A378="",B378=""),"",COUNTIFS(Paradas!$A$5:$A$1004,A378,Paradas!$B$5:$B$1004,B378))</f>
        <v/>
      </c>
      <c r="N378" s="12">
        <f>IF(OR(H378="",I378=""),"",I378-H378)</f>
        <v/>
      </c>
      <c r="O378" s="7" t="n"/>
    </row>
    <row r="379">
      <c r="A379" s="14" t="n"/>
      <c r="B379" s="7" t="n"/>
      <c r="C379" s="7" t="n"/>
      <c r="D379" s="7" t="n"/>
      <c r="E379" s="15" t="n"/>
      <c r="F379" s="15" t="n"/>
      <c r="G379" s="15" t="n"/>
      <c r="H379" s="16" t="n"/>
      <c r="I379" s="16" t="n"/>
      <c r="J379" s="12">
        <f>IF(OR(E379="",F379=""),"",ROUND((MOD(F379-E379,1)-N(G379))*24,2))</f>
        <v/>
      </c>
      <c r="K379" s="12">
        <f>IF(OR(A379="",B379=""),"",SUMIFS(Paradas!$F$5:$F$1004,Paradas!$A$5:$A$1004,A379,Paradas!$B$5:$B$1004,B379))</f>
        <v/>
      </c>
      <c r="L379" s="12">
        <f>IF(J379="","",J379-N(K379))</f>
        <v/>
      </c>
      <c r="M379" s="13">
        <f>IF(OR(A379="",B379=""),"",COUNTIFS(Paradas!$A$5:$A$1004,A379,Paradas!$B$5:$B$1004,B379))</f>
        <v/>
      </c>
      <c r="N379" s="12">
        <f>IF(OR(H379="",I379=""),"",I379-H379)</f>
        <v/>
      </c>
      <c r="O379" s="7" t="n"/>
    </row>
    <row r="380">
      <c r="A380" s="14" t="n"/>
      <c r="B380" s="7" t="n"/>
      <c r="C380" s="7" t="n"/>
      <c r="D380" s="7" t="n"/>
      <c r="E380" s="15" t="n"/>
      <c r="F380" s="15" t="n"/>
      <c r="G380" s="15" t="n"/>
      <c r="H380" s="16" t="n"/>
      <c r="I380" s="16" t="n"/>
      <c r="J380" s="12">
        <f>IF(OR(E380="",F380=""),"",ROUND((MOD(F380-E380,1)-N(G380))*24,2))</f>
        <v/>
      </c>
      <c r="K380" s="12">
        <f>IF(OR(A380="",B380=""),"",SUMIFS(Paradas!$F$5:$F$1004,Paradas!$A$5:$A$1004,A380,Paradas!$B$5:$B$1004,B380))</f>
        <v/>
      </c>
      <c r="L380" s="12">
        <f>IF(J380="","",J380-N(K380))</f>
        <v/>
      </c>
      <c r="M380" s="13">
        <f>IF(OR(A380="",B380=""),"",COUNTIFS(Paradas!$A$5:$A$1004,A380,Paradas!$B$5:$B$1004,B380))</f>
        <v/>
      </c>
      <c r="N380" s="12">
        <f>IF(OR(H380="",I380=""),"",I380-H380)</f>
        <v/>
      </c>
      <c r="O380" s="7" t="n"/>
    </row>
    <row r="381">
      <c r="A381" s="14" t="n"/>
      <c r="B381" s="7" t="n"/>
      <c r="C381" s="7" t="n"/>
      <c r="D381" s="7" t="n"/>
      <c r="E381" s="15" t="n"/>
      <c r="F381" s="15" t="n"/>
      <c r="G381" s="15" t="n"/>
      <c r="H381" s="16" t="n"/>
      <c r="I381" s="16" t="n"/>
      <c r="J381" s="12">
        <f>IF(OR(E381="",F381=""),"",ROUND((MOD(F381-E381,1)-N(G381))*24,2))</f>
        <v/>
      </c>
      <c r="K381" s="12">
        <f>IF(OR(A381="",B381=""),"",SUMIFS(Paradas!$F$5:$F$1004,Paradas!$A$5:$A$1004,A381,Paradas!$B$5:$B$1004,B381))</f>
        <v/>
      </c>
      <c r="L381" s="12">
        <f>IF(J381="","",J381-N(K381))</f>
        <v/>
      </c>
      <c r="M381" s="13">
        <f>IF(OR(A381="",B381=""),"",COUNTIFS(Paradas!$A$5:$A$1004,A381,Paradas!$B$5:$B$1004,B381))</f>
        <v/>
      </c>
      <c r="N381" s="12">
        <f>IF(OR(H381="",I381=""),"",I381-H381)</f>
        <v/>
      </c>
      <c r="O381" s="7" t="n"/>
    </row>
    <row r="382">
      <c r="A382" s="14" t="n"/>
      <c r="B382" s="7" t="n"/>
      <c r="C382" s="7" t="n"/>
      <c r="D382" s="7" t="n"/>
      <c r="E382" s="15" t="n"/>
      <c r="F382" s="15" t="n"/>
      <c r="G382" s="15" t="n"/>
      <c r="H382" s="16" t="n"/>
      <c r="I382" s="16" t="n"/>
      <c r="J382" s="12">
        <f>IF(OR(E382="",F382=""),"",ROUND((MOD(F382-E382,1)-N(G382))*24,2))</f>
        <v/>
      </c>
      <c r="K382" s="12">
        <f>IF(OR(A382="",B382=""),"",SUMIFS(Paradas!$F$5:$F$1004,Paradas!$A$5:$A$1004,A382,Paradas!$B$5:$B$1004,B382))</f>
        <v/>
      </c>
      <c r="L382" s="12">
        <f>IF(J382="","",J382-N(K382))</f>
        <v/>
      </c>
      <c r="M382" s="13">
        <f>IF(OR(A382="",B382=""),"",COUNTIFS(Paradas!$A$5:$A$1004,A382,Paradas!$B$5:$B$1004,B382))</f>
        <v/>
      </c>
      <c r="N382" s="12">
        <f>IF(OR(H382="",I382=""),"",I382-H382)</f>
        <v/>
      </c>
      <c r="O382" s="7" t="n"/>
    </row>
    <row r="383">
      <c r="A383" s="14" t="n"/>
      <c r="B383" s="7" t="n"/>
      <c r="C383" s="7" t="n"/>
      <c r="D383" s="7" t="n"/>
      <c r="E383" s="15" t="n"/>
      <c r="F383" s="15" t="n"/>
      <c r="G383" s="15" t="n"/>
      <c r="H383" s="16" t="n"/>
      <c r="I383" s="16" t="n"/>
      <c r="J383" s="12">
        <f>IF(OR(E383="",F383=""),"",ROUND((MOD(F383-E383,1)-N(G383))*24,2))</f>
        <v/>
      </c>
      <c r="K383" s="12">
        <f>IF(OR(A383="",B383=""),"",SUMIFS(Paradas!$F$5:$F$1004,Paradas!$A$5:$A$1004,A383,Paradas!$B$5:$B$1004,B383))</f>
        <v/>
      </c>
      <c r="L383" s="12">
        <f>IF(J383="","",J383-N(K383))</f>
        <v/>
      </c>
      <c r="M383" s="13">
        <f>IF(OR(A383="",B383=""),"",COUNTIFS(Paradas!$A$5:$A$1004,A383,Paradas!$B$5:$B$1004,B383))</f>
        <v/>
      </c>
      <c r="N383" s="12">
        <f>IF(OR(H383="",I383=""),"",I383-H383)</f>
        <v/>
      </c>
      <c r="O383" s="7" t="n"/>
    </row>
    <row r="384">
      <c r="A384" s="14" t="n"/>
      <c r="B384" s="7" t="n"/>
      <c r="C384" s="7" t="n"/>
      <c r="D384" s="7" t="n"/>
      <c r="E384" s="15" t="n"/>
      <c r="F384" s="15" t="n"/>
      <c r="G384" s="15" t="n"/>
      <c r="H384" s="16" t="n"/>
      <c r="I384" s="16" t="n"/>
      <c r="J384" s="12">
        <f>IF(OR(E384="",F384=""),"",ROUND((MOD(F384-E384,1)-N(G384))*24,2))</f>
        <v/>
      </c>
      <c r="K384" s="12">
        <f>IF(OR(A384="",B384=""),"",SUMIFS(Paradas!$F$5:$F$1004,Paradas!$A$5:$A$1004,A384,Paradas!$B$5:$B$1004,B384))</f>
        <v/>
      </c>
      <c r="L384" s="12">
        <f>IF(J384="","",J384-N(K384))</f>
        <v/>
      </c>
      <c r="M384" s="13">
        <f>IF(OR(A384="",B384=""),"",COUNTIFS(Paradas!$A$5:$A$1004,A384,Paradas!$B$5:$B$1004,B384))</f>
        <v/>
      </c>
      <c r="N384" s="12">
        <f>IF(OR(H384="",I384=""),"",I384-H384)</f>
        <v/>
      </c>
      <c r="O384" s="7" t="n"/>
    </row>
    <row r="385">
      <c r="A385" s="14" t="n"/>
      <c r="B385" s="7" t="n"/>
      <c r="C385" s="7" t="n"/>
      <c r="D385" s="7" t="n"/>
      <c r="E385" s="15" t="n"/>
      <c r="F385" s="15" t="n"/>
      <c r="G385" s="15" t="n"/>
      <c r="H385" s="16" t="n"/>
      <c r="I385" s="16" t="n"/>
      <c r="J385" s="12">
        <f>IF(OR(E385="",F385=""),"",ROUND((MOD(F385-E385,1)-N(G385))*24,2))</f>
        <v/>
      </c>
      <c r="K385" s="12">
        <f>IF(OR(A385="",B385=""),"",SUMIFS(Paradas!$F$5:$F$1004,Paradas!$A$5:$A$1004,A385,Paradas!$B$5:$B$1004,B385))</f>
        <v/>
      </c>
      <c r="L385" s="12">
        <f>IF(J385="","",J385-N(K385))</f>
        <v/>
      </c>
      <c r="M385" s="13">
        <f>IF(OR(A385="",B385=""),"",COUNTIFS(Paradas!$A$5:$A$1004,A385,Paradas!$B$5:$B$1004,B385))</f>
        <v/>
      </c>
      <c r="N385" s="12">
        <f>IF(OR(H385="",I385=""),"",I385-H385)</f>
        <v/>
      </c>
      <c r="O385" s="7" t="n"/>
    </row>
    <row r="386">
      <c r="A386" s="14" t="n"/>
      <c r="B386" s="7" t="n"/>
      <c r="C386" s="7" t="n"/>
      <c r="D386" s="7" t="n"/>
      <c r="E386" s="15" t="n"/>
      <c r="F386" s="15" t="n"/>
      <c r="G386" s="15" t="n"/>
      <c r="H386" s="16" t="n"/>
      <c r="I386" s="16" t="n"/>
      <c r="J386" s="12">
        <f>IF(OR(E386="",F386=""),"",ROUND((MOD(F386-E386,1)-N(G386))*24,2))</f>
        <v/>
      </c>
      <c r="K386" s="12">
        <f>IF(OR(A386="",B386=""),"",SUMIFS(Paradas!$F$5:$F$1004,Paradas!$A$5:$A$1004,A386,Paradas!$B$5:$B$1004,B386))</f>
        <v/>
      </c>
      <c r="L386" s="12">
        <f>IF(J386="","",J386-N(K386))</f>
        <v/>
      </c>
      <c r="M386" s="13">
        <f>IF(OR(A386="",B386=""),"",COUNTIFS(Paradas!$A$5:$A$1004,A386,Paradas!$B$5:$B$1004,B386))</f>
        <v/>
      </c>
      <c r="N386" s="12">
        <f>IF(OR(H386="",I386=""),"",I386-H386)</f>
        <v/>
      </c>
      <c r="O386" s="7" t="n"/>
    </row>
    <row r="387">
      <c r="A387" s="14" t="n"/>
      <c r="B387" s="7" t="n"/>
      <c r="C387" s="7" t="n"/>
      <c r="D387" s="7" t="n"/>
      <c r="E387" s="15" t="n"/>
      <c r="F387" s="15" t="n"/>
      <c r="G387" s="15" t="n"/>
      <c r="H387" s="16" t="n"/>
      <c r="I387" s="16" t="n"/>
      <c r="J387" s="12">
        <f>IF(OR(E387="",F387=""),"",ROUND((MOD(F387-E387,1)-N(G387))*24,2))</f>
        <v/>
      </c>
      <c r="K387" s="12">
        <f>IF(OR(A387="",B387=""),"",SUMIFS(Paradas!$F$5:$F$1004,Paradas!$A$5:$A$1004,A387,Paradas!$B$5:$B$1004,B387))</f>
        <v/>
      </c>
      <c r="L387" s="12">
        <f>IF(J387="","",J387-N(K387))</f>
        <v/>
      </c>
      <c r="M387" s="13">
        <f>IF(OR(A387="",B387=""),"",COUNTIFS(Paradas!$A$5:$A$1004,A387,Paradas!$B$5:$B$1004,B387))</f>
        <v/>
      </c>
      <c r="N387" s="12">
        <f>IF(OR(H387="",I387=""),"",I387-H387)</f>
        <v/>
      </c>
      <c r="O387" s="7" t="n"/>
    </row>
    <row r="388">
      <c r="A388" s="14" t="n"/>
      <c r="B388" s="7" t="n"/>
      <c r="C388" s="7" t="n"/>
      <c r="D388" s="7" t="n"/>
      <c r="E388" s="15" t="n"/>
      <c r="F388" s="15" t="n"/>
      <c r="G388" s="15" t="n"/>
      <c r="H388" s="16" t="n"/>
      <c r="I388" s="16" t="n"/>
      <c r="J388" s="12">
        <f>IF(OR(E388="",F388=""),"",ROUND((MOD(F388-E388,1)-N(G388))*24,2))</f>
        <v/>
      </c>
      <c r="K388" s="12">
        <f>IF(OR(A388="",B388=""),"",SUMIFS(Paradas!$F$5:$F$1004,Paradas!$A$5:$A$1004,A388,Paradas!$B$5:$B$1004,B388))</f>
        <v/>
      </c>
      <c r="L388" s="12">
        <f>IF(J388="","",J388-N(K388))</f>
        <v/>
      </c>
      <c r="M388" s="13">
        <f>IF(OR(A388="",B388=""),"",COUNTIFS(Paradas!$A$5:$A$1004,A388,Paradas!$B$5:$B$1004,B388))</f>
        <v/>
      </c>
      <c r="N388" s="12">
        <f>IF(OR(H388="",I388=""),"",I388-H388)</f>
        <v/>
      </c>
      <c r="O388" s="7" t="n"/>
    </row>
    <row r="389">
      <c r="A389" s="14" t="n"/>
      <c r="B389" s="7" t="n"/>
      <c r="C389" s="7" t="n"/>
      <c r="D389" s="7" t="n"/>
      <c r="E389" s="15" t="n"/>
      <c r="F389" s="15" t="n"/>
      <c r="G389" s="15" t="n"/>
      <c r="H389" s="16" t="n"/>
      <c r="I389" s="16" t="n"/>
      <c r="J389" s="12">
        <f>IF(OR(E389="",F389=""),"",ROUND((MOD(F389-E389,1)-N(G389))*24,2))</f>
        <v/>
      </c>
      <c r="K389" s="12">
        <f>IF(OR(A389="",B389=""),"",SUMIFS(Paradas!$F$5:$F$1004,Paradas!$A$5:$A$1004,A389,Paradas!$B$5:$B$1004,B389))</f>
        <v/>
      </c>
      <c r="L389" s="12">
        <f>IF(J389="","",J389-N(K389))</f>
        <v/>
      </c>
      <c r="M389" s="13">
        <f>IF(OR(A389="",B389=""),"",COUNTIFS(Paradas!$A$5:$A$1004,A389,Paradas!$B$5:$B$1004,B389))</f>
        <v/>
      </c>
      <c r="N389" s="12">
        <f>IF(OR(H389="",I389=""),"",I389-H389)</f>
        <v/>
      </c>
      <c r="O389" s="7" t="n"/>
    </row>
    <row r="390">
      <c r="A390" s="14" t="n"/>
      <c r="B390" s="7" t="n"/>
      <c r="C390" s="7" t="n"/>
      <c r="D390" s="7" t="n"/>
      <c r="E390" s="15" t="n"/>
      <c r="F390" s="15" t="n"/>
      <c r="G390" s="15" t="n"/>
      <c r="H390" s="16" t="n"/>
      <c r="I390" s="16" t="n"/>
      <c r="J390" s="12">
        <f>IF(OR(E390="",F390=""),"",ROUND((MOD(F390-E390,1)-N(G390))*24,2))</f>
        <v/>
      </c>
      <c r="K390" s="12">
        <f>IF(OR(A390="",B390=""),"",SUMIFS(Paradas!$F$5:$F$1004,Paradas!$A$5:$A$1004,A390,Paradas!$B$5:$B$1004,B390))</f>
        <v/>
      </c>
      <c r="L390" s="12">
        <f>IF(J390="","",J390-N(K390))</f>
        <v/>
      </c>
      <c r="M390" s="13">
        <f>IF(OR(A390="",B390=""),"",COUNTIFS(Paradas!$A$5:$A$1004,A390,Paradas!$B$5:$B$1004,B390))</f>
        <v/>
      </c>
      <c r="N390" s="12">
        <f>IF(OR(H390="",I390=""),"",I390-H390)</f>
        <v/>
      </c>
      <c r="O390" s="7" t="n"/>
    </row>
    <row r="391">
      <c r="A391" s="14" t="n"/>
      <c r="B391" s="7" t="n"/>
      <c r="C391" s="7" t="n"/>
      <c r="D391" s="7" t="n"/>
      <c r="E391" s="15" t="n"/>
      <c r="F391" s="15" t="n"/>
      <c r="G391" s="15" t="n"/>
      <c r="H391" s="16" t="n"/>
      <c r="I391" s="16" t="n"/>
      <c r="J391" s="12">
        <f>IF(OR(E391="",F391=""),"",ROUND((MOD(F391-E391,1)-N(G391))*24,2))</f>
        <v/>
      </c>
      <c r="K391" s="12">
        <f>IF(OR(A391="",B391=""),"",SUMIFS(Paradas!$F$5:$F$1004,Paradas!$A$5:$A$1004,A391,Paradas!$B$5:$B$1004,B391))</f>
        <v/>
      </c>
      <c r="L391" s="12">
        <f>IF(J391="","",J391-N(K391))</f>
        <v/>
      </c>
      <c r="M391" s="13">
        <f>IF(OR(A391="",B391=""),"",COUNTIFS(Paradas!$A$5:$A$1004,A391,Paradas!$B$5:$B$1004,B391))</f>
        <v/>
      </c>
      <c r="N391" s="12">
        <f>IF(OR(H391="",I391=""),"",I391-H391)</f>
        <v/>
      </c>
      <c r="O391" s="7" t="n"/>
    </row>
    <row r="392">
      <c r="A392" s="14" t="n"/>
      <c r="B392" s="7" t="n"/>
      <c r="C392" s="7" t="n"/>
      <c r="D392" s="7" t="n"/>
      <c r="E392" s="15" t="n"/>
      <c r="F392" s="15" t="n"/>
      <c r="G392" s="15" t="n"/>
      <c r="H392" s="16" t="n"/>
      <c r="I392" s="16" t="n"/>
      <c r="J392" s="12">
        <f>IF(OR(E392="",F392=""),"",ROUND((MOD(F392-E392,1)-N(G392))*24,2))</f>
        <v/>
      </c>
      <c r="K392" s="12">
        <f>IF(OR(A392="",B392=""),"",SUMIFS(Paradas!$F$5:$F$1004,Paradas!$A$5:$A$1004,A392,Paradas!$B$5:$B$1004,B392))</f>
        <v/>
      </c>
      <c r="L392" s="12">
        <f>IF(J392="","",J392-N(K392))</f>
        <v/>
      </c>
      <c r="M392" s="13">
        <f>IF(OR(A392="",B392=""),"",COUNTIFS(Paradas!$A$5:$A$1004,A392,Paradas!$B$5:$B$1004,B392))</f>
        <v/>
      </c>
      <c r="N392" s="12">
        <f>IF(OR(H392="",I392=""),"",I392-H392)</f>
        <v/>
      </c>
      <c r="O392" s="7" t="n"/>
    </row>
    <row r="393">
      <c r="A393" s="14" t="n"/>
      <c r="B393" s="7" t="n"/>
      <c r="C393" s="7" t="n"/>
      <c r="D393" s="7" t="n"/>
      <c r="E393" s="15" t="n"/>
      <c r="F393" s="15" t="n"/>
      <c r="G393" s="15" t="n"/>
      <c r="H393" s="16" t="n"/>
      <c r="I393" s="16" t="n"/>
      <c r="J393" s="12">
        <f>IF(OR(E393="",F393=""),"",ROUND((MOD(F393-E393,1)-N(G393))*24,2))</f>
        <v/>
      </c>
      <c r="K393" s="12">
        <f>IF(OR(A393="",B393=""),"",SUMIFS(Paradas!$F$5:$F$1004,Paradas!$A$5:$A$1004,A393,Paradas!$B$5:$B$1004,B393))</f>
        <v/>
      </c>
      <c r="L393" s="12">
        <f>IF(J393="","",J393-N(K393))</f>
        <v/>
      </c>
      <c r="M393" s="13">
        <f>IF(OR(A393="",B393=""),"",COUNTIFS(Paradas!$A$5:$A$1004,A393,Paradas!$B$5:$B$1004,B393))</f>
        <v/>
      </c>
      <c r="N393" s="12">
        <f>IF(OR(H393="",I393=""),"",I393-H393)</f>
        <v/>
      </c>
      <c r="O393" s="7" t="n"/>
    </row>
    <row r="394">
      <c r="A394" s="14" t="n"/>
      <c r="B394" s="7" t="n"/>
      <c r="C394" s="7" t="n"/>
      <c r="D394" s="7" t="n"/>
      <c r="E394" s="15" t="n"/>
      <c r="F394" s="15" t="n"/>
      <c r="G394" s="15" t="n"/>
      <c r="H394" s="16" t="n"/>
      <c r="I394" s="16" t="n"/>
      <c r="J394" s="12">
        <f>IF(OR(E394="",F394=""),"",ROUND((MOD(F394-E394,1)-N(G394))*24,2))</f>
        <v/>
      </c>
      <c r="K394" s="12">
        <f>IF(OR(A394="",B394=""),"",SUMIFS(Paradas!$F$5:$F$1004,Paradas!$A$5:$A$1004,A394,Paradas!$B$5:$B$1004,B394))</f>
        <v/>
      </c>
      <c r="L394" s="12">
        <f>IF(J394="","",J394-N(K394))</f>
        <v/>
      </c>
      <c r="M394" s="13">
        <f>IF(OR(A394="",B394=""),"",COUNTIFS(Paradas!$A$5:$A$1004,A394,Paradas!$B$5:$B$1004,B394))</f>
        <v/>
      </c>
      <c r="N394" s="12">
        <f>IF(OR(H394="",I394=""),"",I394-H394)</f>
        <v/>
      </c>
      <c r="O394" s="7" t="n"/>
    </row>
    <row r="395">
      <c r="A395" s="14" t="n"/>
      <c r="B395" s="7" t="n"/>
      <c r="C395" s="7" t="n"/>
      <c r="D395" s="7" t="n"/>
      <c r="E395" s="15" t="n"/>
      <c r="F395" s="15" t="n"/>
      <c r="G395" s="15" t="n"/>
      <c r="H395" s="16" t="n"/>
      <c r="I395" s="16" t="n"/>
      <c r="J395" s="12">
        <f>IF(OR(E395="",F395=""),"",ROUND((MOD(F395-E395,1)-N(G395))*24,2))</f>
        <v/>
      </c>
      <c r="K395" s="12">
        <f>IF(OR(A395="",B395=""),"",SUMIFS(Paradas!$F$5:$F$1004,Paradas!$A$5:$A$1004,A395,Paradas!$B$5:$B$1004,B395))</f>
        <v/>
      </c>
      <c r="L395" s="12">
        <f>IF(J395="","",J395-N(K395))</f>
        <v/>
      </c>
      <c r="M395" s="13">
        <f>IF(OR(A395="",B395=""),"",COUNTIFS(Paradas!$A$5:$A$1004,A395,Paradas!$B$5:$B$1004,B395))</f>
        <v/>
      </c>
      <c r="N395" s="12">
        <f>IF(OR(H395="",I395=""),"",I395-H395)</f>
        <v/>
      </c>
      <c r="O395" s="7" t="n"/>
    </row>
    <row r="396">
      <c r="A396" s="14" t="n"/>
      <c r="B396" s="7" t="n"/>
      <c r="C396" s="7" t="n"/>
      <c r="D396" s="7" t="n"/>
      <c r="E396" s="15" t="n"/>
      <c r="F396" s="15" t="n"/>
      <c r="G396" s="15" t="n"/>
      <c r="H396" s="16" t="n"/>
      <c r="I396" s="16" t="n"/>
      <c r="J396" s="12">
        <f>IF(OR(E396="",F396=""),"",ROUND((MOD(F396-E396,1)-N(G396))*24,2))</f>
        <v/>
      </c>
      <c r="K396" s="12">
        <f>IF(OR(A396="",B396=""),"",SUMIFS(Paradas!$F$5:$F$1004,Paradas!$A$5:$A$1004,A396,Paradas!$B$5:$B$1004,B396))</f>
        <v/>
      </c>
      <c r="L396" s="12">
        <f>IF(J396="","",J396-N(K396))</f>
        <v/>
      </c>
      <c r="M396" s="13">
        <f>IF(OR(A396="",B396=""),"",COUNTIFS(Paradas!$A$5:$A$1004,A396,Paradas!$B$5:$B$1004,B396))</f>
        <v/>
      </c>
      <c r="N396" s="12">
        <f>IF(OR(H396="",I396=""),"",I396-H396)</f>
        <v/>
      </c>
      <c r="O396" s="7" t="n"/>
    </row>
    <row r="397">
      <c r="A397" s="14" t="n"/>
      <c r="B397" s="7" t="n"/>
      <c r="C397" s="7" t="n"/>
      <c r="D397" s="7" t="n"/>
      <c r="E397" s="15" t="n"/>
      <c r="F397" s="15" t="n"/>
      <c r="G397" s="15" t="n"/>
      <c r="H397" s="16" t="n"/>
      <c r="I397" s="16" t="n"/>
      <c r="J397" s="12">
        <f>IF(OR(E397="",F397=""),"",ROUND((MOD(F397-E397,1)-N(G397))*24,2))</f>
        <v/>
      </c>
      <c r="K397" s="12">
        <f>IF(OR(A397="",B397=""),"",SUMIFS(Paradas!$F$5:$F$1004,Paradas!$A$5:$A$1004,A397,Paradas!$B$5:$B$1004,B397))</f>
        <v/>
      </c>
      <c r="L397" s="12">
        <f>IF(J397="","",J397-N(K397))</f>
        <v/>
      </c>
      <c r="M397" s="13">
        <f>IF(OR(A397="",B397=""),"",COUNTIFS(Paradas!$A$5:$A$1004,A397,Paradas!$B$5:$B$1004,B397))</f>
        <v/>
      </c>
      <c r="N397" s="12">
        <f>IF(OR(H397="",I397=""),"",I397-H397)</f>
        <v/>
      </c>
      <c r="O397" s="7" t="n"/>
    </row>
    <row r="398">
      <c r="A398" s="14" t="n"/>
      <c r="B398" s="7" t="n"/>
      <c r="C398" s="7" t="n"/>
      <c r="D398" s="7" t="n"/>
      <c r="E398" s="15" t="n"/>
      <c r="F398" s="15" t="n"/>
      <c r="G398" s="15" t="n"/>
      <c r="H398" s="16" t="n"/>
      <c r="I398" s="16" t="n"/>
      <c r="J398" s="12">
        <f>IF(OR(E398="",F398=""),"",ROUND((MOD(F398-E398,1)-N(G398))*24,2))</f>
        <v/>
      </c>
      <c r="K398" s="12">
        <f>IF(OR(A398="",B398=""),"",SUMIFS(Paradas!$F$5:$F$1004,Paradas!$A$5:$A$1004,A398,Paradas!$B$5:$B$1004,B398))</f>
        <v/>
      </c>
      <c r="L398" s="12">
        <f>IF(J398="","",J398-N(K398))</f>
        <v/>
      </c>
      <c r="M398" s="13">
        <f>IF(OR(A398="",B398=""),"",COUNTIFS(Paradas!$A$5:$A$1004,A398,Paradas!$B$5:$B$1004,B398))</f>
        <v/>
      </c>
      <c r="N398" s="12">
        <f>IF(OR(H398="",I398=""),"",I398-H398)</f>
        <v/>
      </c>
      <c r="O398" s="7" t="n"/>
    </row>
    <row r="399">
      <c r="A399" s="14" t="n"/>
      <c r="B399" s="7" t="n"/>
      <c r="C399" s="7" t="n"/>
      <c r="D399" s="7" t="n"/>
      <c r="E399" s="15" t="n"/>
      <c r="F399" s="15" t="n"/>
      <c r="G399" s="15" t="n"/>
      <c r="H399" s="16" t="n"/>
      <c r="I399" s="16" t="n"/>
      <c r="J399" s="12">
        <f>IF(OR(E399="",F399=""),"",ROUND((MOD(F399-E399,1)-N(G399))*24,2))</f>
        <v/>
      </c>
      <c r="K399" s="12">
        <f>IF(OR(A399="",B399=""),"",SUMIFS(Paradas!$F$5:$F$1004,Paradas!$A$5:$A$1004,A399,Paradas!$B$5:$B$1004,B399))</f>
        <v/>
      </c>
      <c r="L399" s="12">
        <f>IF(J399="","",J399-N(K399))</f>
        <v/>
      </c>
      <c r="M399" s="13">
        <f>IF(OR(A399="",B399=""),"",COUNTIFS(Paradas!$A$5:$A$1004,A399,Paradas!$B$5:$B$1004,B399))</f>
        <v/>
      </c>
      <c r="N399" s="12">
        <f>IF(OR(H399="",I399=""),"",I399-H399)</f>
        <v/>
      </c>
      <c r="O399" s="7" t="n"/>
    </row>
    <row r="400">
      <c r="A400" s="14" t="n"/>
      <c r="B400" s="7" t="n"/>
      <c r="C400" s="7" t="n"/>
      <c r="D400" s="7" t="n"/>
      <c r="E400" s="15" t="n"/>
      <c r="F400" s="15" t="n"/>
      <c r="G400" s="15" t="n"/>
      <c r="H400" s="16" t="n"/>
      <c r="I400" s="16" t="n"/>
      <c r="J400" s="12">
        <f>IF(OR(E400="",F400=""),"",ROUND((MOD(F400-E400,1)-N(G400))*24,2))</f>
        <v/>
      </c>
      <c r="K400" s="12">
        <f>IF(OR(A400="",B400=""),"",SUMIFS(Paradas!$F$5:$F$1004,Paradas!$A$5:$A$1004,A400,Paradas!$B$5:$B$1004,B400))</f>
        <v/>
      </c>
      <c r="L400" s="12">
        <f>IF(J400="","",J400-N(K400))</f>
        <v/>
      </c>
      <c r="M400" s="13">
        <f>IF(OR(A400="",B400=""),"",COUNTIFS(Paradas!$A$5:$A$1004,A400,Paradas!$B$5:$B$1004,B400))</f>
        <v/>
      </c>
      <c r="N400" s="12">
        <f>IF(OR(H400="",I400=""),"",I400-H400)</f>
        <v/>
      </c>
      <c r="O400" s="7" t="n"/>
    </row>
    <row r="401">
      <c r="A401" s="14" t="n"/>
      <c r="B401" s="7" t="n"/>
      <c r="C401" s="7" t="n"/>
      <c r="D401" s="7" t="n"/>
      <c r="E401" s="15" t="n"/>
      <c r="F401" s="15" t="n"/>
      <c r="G401" s="15" t="n"/>
      <c r="H401" s="16" t="n"/>
      <c r="I401" s="16" t="n"/>
      <c r="J401" s="12">
        <f>IF(OR(E401="",F401=""),"",ROUND((MOD(F401-E401,1)-N(G401))*24,2))</f>
        <v/>
      </c>
      <c r="K401" s="12">
        <f>IF(OR(A401="",B401=""),"",SUMIFS(Paradas!$F$5:$F$1004,Paradas!$A$5:$A$1004,A401,Paradas!$B$5:$B$1004,B401))</f>
        <v/>
      </c>
      <c r="L401" s="12">
        <f>IF(J401="","",J401-N(K401))</f>
        <v/>
      </c>
      <c r="M401" s="13">
        <f>IF(OR(A401="",B401=""),"",COUNTIFS(Paradas!$A$5:$A$1004,A401,Paradas!$B$5:$B$1004,B401))</f>
        <v/>
      </c>
      <c r="N401" s="12">
        <f>IF(OR(H401="",I401=""),"",I401-H401)</f>
        <v/>
      </c>
      <c r="O401" s="7" t="n"/>
    </row>
    <row r="402">
      <c r="A402" s="14" t="n"/>
      <c r="B402" s="7" t="n"/>
      <c r="C402" s="7" t="n"/>
      <c r="D402" s="7" t="n"/>
      <c r="E402" s="15" t="n"/>
      <c r="F402" s="15" t="n"/>
      <c r="G402" s="15" t="n"/>
      <c r="H402" s="16" t="n"/>
      <c r="I402" s="16" t="n"/>
      <c r="J402" s="12">
        <f>IF(OR(E402="",F402=""),"",ROUND((MOD(F402-E402,1)-N(G402))*24,2))</f>
        <v/>
      </c>
      <c r="K402" s="12">
        <f>IF(OR(A402="",B402=""),"",SUMIFS(Paradas!$F$5:$F$1004,Paradas!$A$5:$A$1004,A402,Paradas!$B$5:$B$1004,B402))</f>
        <v/>
      </c>
      <c r="L402" s="12">
        <f>IF(J402="","",J402-N(K402))</f>
        <v/>
      </c>
      <c r="M402" s="13">
        <f>IF(OR(A402="",B402=""),"",COUNTIFS(Paradas!$A$5:$A$1004,A402,Paradas!$B$5:$B$1004,B402))</f>
        <v/>
      </c>
      <c r="N402" s="12">
        <f>IF(OR(H402="",I402=""),"",I402-H402)</f>
        <v/>
      </c>
      <c r="O402" s="7" t="n"/>
    </row>
    <row r="403">
      <c r="A403" s="14" t="n"/>
      <c r="B403" s="7" t="n"/>
      <c r="C403" s="7" t="n"/>
      <c r="D403" s="7" t="n"/>
      <c r="E403" s="15" t="n"/>
      <c r="F403" s="15" t="n"/>
      <c r="G403" s="15" t="n"/>
      <c r="H403" s="16" t="n"/>
      <c r="I403" s="16" t="n"/>
      <c r="J403" s="12">
        <f>IF(OR(E403="",F403=""),"",ROUND((MOD(F403-E403,1)-N(G403))*24,2))</f>
        <v/>
      </c>
      <c r="K403" s="12">
        <f>IF(OR(A403="",B403=""),"",SUMIFS(Paradas!$F$5:$F$1004,Paradas!$A$5:$A$1004,A403,Paradas!$B$5:$B$1004,B403))</f>
        <v/>
      </c>
      <c r="L403" s="12">
        <f>IF(J403="","",J403-N(K403))</f>
        <v/>
      </c>
      <c r="M403" s="13">
        <f>IF(OR(A403="",B403=""),"",COUNTIFS(Paradas!$A$5:$A$1004,A403,Paradas!$B$5:$B$1004,B403))</f>
        <v/>
      </c>
      <c r="N403" s="12">
        <f>IF(OR(H403="",I403=""),"",I403-H403)</f>
        <v/>
      </c>
      <c r="O403" s="7" t="n"/>
    </row>
    <row r="404">
      <c r="A404" s="14" t="n"/>
      <c r="B404" s="7" t="n"/>
      <c r="C404" s="7" t="n"/>
      <c r="D404" s="7" t="n"/>
      <c r="E404" s="15" t="n"/>
      <c r="F404" s="15" t="n"/>
      <c r="G404" s="15" t="n"/>
      <c r="H404" s="16" t="n"/>
      <c r="I404" s="16" t="n"/>
      <c r="J404" s="12">
        <f>IF(OR(E404="",F404=""),"",ROUND((MOD(F404-E404,1)-N(G404))*24,2))</f>
        <v/>
      </c>
      <c r="K404" s="12">
        <f>IF(OR(A404="",B404=""),"",SUMIFS(Paradas!$F$5:$F$1004,Paradas!$A$5:$A$1004,A404,Paradas!$B$5:$B$1004,B404))</f>
        <v/>
      </c>
      <c r="L404" s="12">
        <f>IF(J404="","",J404-N(K404))</f>
        <v/>
      </c>
      <c r="M404" s="13">
        <f>IF(OR(A404="",B404=""),"",COUNTIFS(Paradas!$A$5:$A$1004,A404,Paradas!$B$5:$B$1004,B404))</f>
        <v/>
      </c>
      <c r="N404" s="12">
        <f>IF(OR(H404="",I404=""),"",I404-H404)</f>
        <v/>
      </c>
      <c r="O404" s="7" t="n"/>
    </row>
    <row r="405">
      <c r="A405" s="14" t="n"/>
      <c r="B405" s="7" t="n"/>
      <c r="C405" s="7" t="n"/>
      <c r="D405" s="7" t="n"/>
      <c r="E405" s="15" t="n"/>
      <c r="F405" s="15" t="n"/>
      <c r="G405" s="15" t="n"/>
      <c r="H405" s="16" t="n"/>
      <c r="I405" s="16" t="n"/>
      <c r="J405" s="12">
        <f>IF(OR(E405="",F405=""),"",ROUND((MOD(F405-E405,1)-N(G405))*24,2))</f>
        <v/>
      </c>
      <c r="K405" s="12">
        <f>IF(OR(A405="",B405=""),"",SUMIFS(Paradas!$F$5:$F$1004,Paradas!$A$5:$A$1004,A405,Paradas!$B$5:$B$1004,B405))</f>
        <v/>
      </c>
      <c r="L405" s="12">
        <f>IF(J405="","",J405-N(K405))</f>
        <v/>
      </c>
      <c r="M405" s="13">
        <f>IF(OR(A405="",B405=""),"",COUNTIFS(Paradas!$A$5:$A$1004,A405,Paradas!$B$5:$B$1004,B405))</f>
        <v/>
      </c>
      <c r="N405" s="12">
        <f>IF(OR(H405="",I405=""),"",I405-H405)</f>
        <v/>
      </c>
      <c r="O405" s="7" t="n"/>
    </row>
    <row r="406">
      <c r="A406" s="14" t="n"/>
      <c r="B406" s="7" t="n"/>
      <c r="C406" s="7" t="n"/>
      <c r="D406" s="7" t="n"/>
      <c r="E406" s="15" t="n"/>
      <c r="F406" s="15" t="n"/>
      <c r="G406" s="15" t="n"/>
      <c r="H406" s="16" t="n"/>
      <c r="I406" s="16" t="n"/>
      <c r="J406" s="12">
        <f>IF(OR(E406="",F406=""),"",ROUND((MOD(F406-E406,1)-N(G406))*24,2))</f>
        <v/>
      </c>
      <c r="K406" s="12">
        <f>IF(OR(A406="",B406=""),"",SUMIFS(Paradas!$F$5:$F$1004,Paradas!$A$5:$A$1004,A406,Paradas!$B$5:$B$1004,B406))</f>
        <v/>
      </c>
      <c r="L406" s="12">
        <f>IF(J406="","",J406-N(K406))</f>
        <v/>
      </c>
      <c r="M406" s="13">
        <f>IF(OR(A406="",B406=""),"",COUNTIFS(Paradas!$A$5:$A$1004,A406,Paradas!$B$5:$B$1004,B406))</f>
        <v/>
      </c>
      <c r="N406" s="12">
        <f>IF(OR(H406="",I406=""),"",I406-H406)</f>
        <v/>
      </c>
      <c r="O406" s="7" t="n"/>
    </row>
    <row r="407">
      <c r="A407" s="14" t="n"/>
      <c r="B407" s="7" t="n"/>
      <c r="C407" s="7" t="n"/>
      <c r="D407" s="7" t="n"/>
      <c r="E407" s="15" t="n"/>
      <c r="F407" s="15" t="n"/>
      <c r="G407" s="15" t="n"/>
      <c r="H407" s="16" t="n"/>
      <c r="I407" s="16" t="n"/>
      <c r="J407" s="12">
        <f>IF(OR(E407="",F407=""),"",ROUND((MOD(F407-E407,1)-N(G407))*24,2))</f>
        <v/>
      </c>
      <c r="K407" s="12">
        <f>IF(OR(A407="",B407=""),"",SUMIFS(Paradas!$F$5:$F$1004,Paradas!$A$5:$A$1004,A407,Paradas!$B$5:$B$1004,B407))</f>
        <v/>
      </c>
      <c r="L407" s="12">
        <f>IF(J407="","",J407-N(K407))</f>
        <v/>
      </c>
      <c r="M407" s="13">
        <f>IF(OR(A407="",B407=""),"",COUNTIFS(Paradas!$A$5:$A$1004,A407,Paradas!$B$5:$B$1004,B407))</f>
        <v/>
      </c>
      <c r="N407" s="12">
        <f>IF(OR(H407="",I407=""),"",I407-H407)</f>
        <v/>
      </c>
      <c r="O407" s="7" t="n"/>
    </row>
    <row r="408">
      <c r="A408" s="14" t="n"/>
      <c r="B408" s="7" t="n"/>
      <c r="C408" s="7" t="n"/>
      <c r="D408" s="7" t="n"/>
      <c r="E408" s="15" t="n"/>
      <c r="F408" s="15" t="n"/>
      <c r="G408" s="15" t="n"/>
      <c r="H408" s="16" t="n"/>
      <c r="I408" s="16" t="n"/>
      <c r="J408" s="12">
        <f>IF(OR(E408="",F408=""),"",ROUND((MOD(F408-E408,1)-N(G408))*24,2))</f>
        <v/>
      </c>
      <c r="K408" s="12">
        <f>IF(OR(A408="",B408=""),"",SUMIFS(Paradas!$F$5:$F$1004,Paradas!$A$5:$A$1004,A408,Paradas!$B$5:$B$1004,B408))</f>
        <v/>
      </c>
      <c r="L408" s="12">
        <f>IF(J408="","",J408-N(K408))</f>
        <v/>
      </c>
      <c r="M408" s="13">
        <f>IF(OR(A408="",B408=""),"",COUNTIFS(Paradas!$A$5:$A$1004,A408,Paradas!$B$5:$B$1004,B408))</f>
        <v/>
      </c>
      <c r="N408" s="12">
        <f>IF(OR(H408="",I408=""),"",I408-H408)</f>
        <v/>
      </c>
      <c r="O408" s="7" t="n"/>
    </row>
    <row r="409">
      <c r="A409" s="14" t="n"/>
      <c r="B409" s="7" t="n"/>
      <c r="C409" s="7" t="n"/>
      <c r="D409" s="7" t="n"/>
      <c r="E409" s="15" t="n"/>
      <c r="F409" s="15" t="n"/>
      <c r="G409" s="15" t="n"/>
      <c r="H409" s="16" t="n"/>
      <c r="I409" s="16" t="n"/>
      <c r="J409" s="12">
        <f>IF(OR(E409="",F409=""),"",ROUND((MOD(F409-E409,1)-N(G409))*24,2))</f>
        <v/>
      </c>
      <c r="K409" s="12">
        <f>IF(OR(A409="",B409=""),"",SUMIFS(Paradas!$F$5:$F$1004,Paradas!$A$5:$A$1004,A409,Paradas!$B$5:$B$1004,B409))</f>
        <v/>
      </c>
      <c r="L409" s="12">
        <f>IF(J409="","",J409-N(K409))</f>
        <v/>
      </c>
      <c r="M409" s="13">
        <f>IF(OR(A409="",B409=""),"",COUNTIFS(Paradas!$A$5:$A$1004,A409,Paradas!$B$5:$B$1004,B409))</f>
        <v/>
      </c>
      <c r="N409" s="12">
        <f>IF(OR(H409="",I409=""),"",I409-H409)</f>
        <v/>
      </c>
      <c r="O409" s="7" t="n"/>
    </row>
    <row r="410">
      <c r="A410" s="14" t="n"/>
      <c r="B410" s="7" t="n"/>
      <c r="C410" s="7" t="n"/>
      <c r="D410" s="7" t="n"/>
      <c r="E410" s="15" t="n"/>
      <c r="F410" s="15" t="n"/>
      <c r="G410" s="15" t="n"/>
      <c r="H410" s="16" t="n"/>
      <c r="I410" s="16" t="n"/>
      <c r="J410" s="12">
        <f>IF(OR(E410="",F410=""),"",ROUND((MOD(F410-E410,1)-N(G410))*24,2))</f>
        <v/>
      </c>
      <c r="K410" s="12">
        <f>IF(OR(A410="",B410=""),"",SUMIFS(Paradas!$F$5:$F$1004,Paradas!$A$5:$A$1004,A410,Paradas!$B$5:$B$1004,B410))</f>
        <v/>
      </c>
      <c r="L410" s="12">
        <f>IF(J410="","",J410-N(K410))</f>
        <v/>
      </c>
      <c r="M410" s="13">
        <f>IF(OR(A410="",B410=""),"",COUNTIFS(Paradas!$A$5:$A$1004,A410,Paradas!$B$5:$B$1004,B410))</f>
        <v/>
      </c>
      <c r="N410" s="12">
        <f>IF(OR(H410="",I410=""),"",I410-H410)</f>
        <v/>
      </c>
      <c r="O410" s="7" t="n"/>
    </row>
    <row r="411">
      <c r="A411" s="14" t="n"/>
      <c r="B411" s="7" t="n"/>
      <c r="C411" s="7" t="n"/>
      <c r="D411" s="7" t="n"/>
      <c r="E411" s="15" t="n"/>
      <c r="F411" s="15" t="n"/>
      <c r="G411" s="15" t="n"/>
      <c r="H411" s="16" t="n"/>
      <c r="I411" s="16" t="n"/>
      <c r="J411" s="12">
        <f>IF(OR(E411="",F411=""),"",ROUND((MOD(F411-E411,1)-N(G411))*24,2))</f>
        <v/>
      </c>
      <c r="K411" s="12">
        <f>IF(OR(A411="",B411=""),"",SUMIFS(Paradas!$F$5:$F$1004,Paradas!$A$5:$A$1004,A411,Paradas!$B$5:$B$1004,B411))</f>
        <v/>
      </c>
      <c r="L411" s="12">
        <f>IF(J411="","",J411-N(K411))</f>
        <v/>
      </c>
      <c r="M411" s="13">
        <f>IF(OR(A411="",B411=""),"",COUNTIFS(Paradas!$A$5:$A$1004,A411,Paradas!$B$5:$B$1004,B411))</f>
        <v/>
      </c>
      <c r="N411" s="12">
        <f>IF(OR(H411="",I411=""),"",I411-H411)</f>
        <v/>
      </c>
      <c r="O411" s="7" t="n"/>
    </row>
    <row r="412">
      <c r="A412" s="14" t="n"/>
      <c r="B412" s="7" t="n"/>
      <c r="C412" s="7" t="n"/>
      <c r="D412" s="7" t="n"/>
      <c r="E412" s="15" t="n"/>
      <c r="F412" s="15" t="n"/>
      <c r="G412" s="15" t="n"/>
      <c r="H412" s="16" t="n"/>
      <c r="I412" s="16" t="n"/>
      <c r="J412" s="12">
        <f>IF(OR(E412="",F412=""),"",ROUND((MOD(F412-E412,1)-N(G412))*24,2))</f>
        <v/>
      </c>
      <c r="K412" s="12">
        <f>IF(OR(A412="",B412=""),"",SUMIFS(Paradas!$F$5:$F$1004,Paradas!$A$5:$A$1004,A412,Paradas!$B$5:$B$1004,B412))</f>
        <v/>
      </c>
      <c r="L412" s="12">
        <f>IF(J412="","",J412-N(K412))</f>
        <v/>
      </c>
      <c r="M412" s="13">
        <f>IF(OR(A412="",B412=""),"",COUNTIFS(Paradas!$A$5:$A$1004,A412,Paradas!$B$5:$B$1004,B412))</f>
        <v/>
      </c>
      <c r="N412" s="12">
        <f>IF(OR(H412="",I412=""),"",I412-H412)</f>
        <v/>
      </c>
      <c r="O412" s="7" t="n"/>
    </row>
    <row r="413">
      <c r="A413" s="14" t="n"/>
      <c r="B413" s="7" t="n"/>
      <c r="C413" s="7" t="n"/>
      <c r="D413" s="7" t="n"/>
      <c r="E413" s="15" t="n"/>
      <c r="F413" s="15" t="n"/>
      <c r="G413" s="15" t="n"/>
      <c r="H413" s="16" t="n"/>
      <c r="I413" s="16" t="n"/>
      <c r="J413" s="12">
        <f>IF(OR(E413="",F413=""),"",ROUND((MOD(F413-E413,1)-N(G413))*24,2))</f>
        <v/>
      </c>
      <c r="K413" s="12">
        <f>IF(OR(A413="",B413=""),"",SUMIFS(Paradas!$F$5:$F$1004,Paradas!$A$5:$A$1004,A413,Paradas!$B$5:$B$1004,B413))</f>
        <v/>
      </c>
      <c r="L413" s="12">
        <f>IF(J413="","",J413-N(K413))</f>
        <v/>
      </c>
      <c r="M413" s="13">
        <f>IF(OR(A413="",B413=""),"",COUNTIFS(Paradas!$A$5:$A$1004,A413,Paradas!$B$5:$B$1004,B413))</f>
        <v/>
      </c>
      <c r="N413" s="12">
        <f>IF(OR(H413="",I413=""),"",I413-H413)</f>
        <v/>
      </c>
      <c r="O413" s="7" t="n"/>
    </row>
    <row r="414">
      <c r="A414" s="14" t="n"/>
      <c r="B414" s="7" t="n"/>
      <c r="C414" s="7" t="n"/>
      <c r="D414" s="7" t="n"/>
      <c r="E414" s="15" t="n"/>
      <c r="F414" s="15" t="n"/>
      <c r="G414" s="15" t="n"/>
      <c r="H414" s="16" t="n"/>
      <c r="I414" s="16" t="n"/>
      <c r="J414" s="12">
        <f>IF(OR(E414="",F414=""),"",ROUND((MOD(F414-E414,1)-N(G414))*24,2))</f>
        <v/>
      </c>
      <c r="K414" s="12">
        <f>IF(OR(A414="",B414=""),"",SUMIFS(Paradas!$F$5:$F$1004,Paradas!$A$5:$A$1004,A414,Paradas!$B$5:$B$1004,B414))</f>
        <v/>
      </c>
      <c r="L414" s="12">
        <f>IF(J414="","",J414-N(K414))</f>
        <v/>
      </c>
      <c r="M414" s="13">
        <f>IF(OR(A414="",B414=""),"",COUNTIFS(Paradas!$A$5:$A$1004,A414,Paradas!$B$5:$B$1004,B414))</f>
        <v/>
      </c>
      <c r="N414" s="12">
        <f>IF(OR(H414="",I414=""),"",I414-H414)</f>
        <v/>
      </c>
      <c r="O414" s="7" t="n"/>
    </row>
    <row r="415">
      <c r="A415" s="14" t="n"/>
      <c r="B415" s="7" t="n"/>
      <c r="C415" s="7" t="n"/>
      <c r="D415" s="7" t="n"/>
      <c r="E415" s="15" t="n"/>
      <c r="F415" s="15" t="n"/>
      <c r="G415" s="15" t="n"/>
      <c r="H415" s="16" t="n"/>
      <c r="I415" s="16" t="n"/>
      <c r="J415" s="12">
        <f>IF(OR(E415="",F415=""),"",ROUND((MOD(F415-E415,1)-N(G415))*24,2))</f>
        <v/>
      </c>
      <c r="K415" s="12">
        <f>IF(OR(A415="",B415=""),"",SUMIFS(Paradas!$F$5:$F$1004,Paradas!$A$5:$A$1004,A415,Paradas!$B$5:$B$1004,B415))</f>
        <v/>
      </c>
      <c r="L415" s="12">
        <f>IF(J415="","",J415-N(K415))</f>
        <v/>
      </c>
      <c r="M415" s="13">
        <f>IF(OR(A415="",B415=""),"",COUNTIFS(Paradas!$A$5:$A$1004,A415,Paradas!$B$5:$B$1004,B415))</f>
        <v/>
      </c>
      <c r="N415" s="12">
        <f>IF(OR(H415="",I415=""),"",I415-H415)</f>
        <v/>
      </c>
      <c r="O415" s="7" t="n"/>
    </row>
    <row r="416">
      <c r="A416" s="14" t="n"/>
      <c r="B416" s="7" t="n"/>
      <c r="C416" s="7" t="n"/>
      <c r="D416" s="7" t="n"/>
      <c r="E416" s="15" t="n"/>
      <c r="F416" s="15" t="n"/>
      <c r="G416" s="15" t="n"/>
      <c r="H416" s="16" t="n"/>
      <c r="I416" s="16" t="n"/>
      <c r="J416" s="12">
        <f>IF(OR(E416="",F416=""),"",ROUND((MOD(F416-E416,1)-N(G416))*24,2))</f>
        <v/>
      </c>
      <c r="K416" s="12">
        <f>IF(OR(A416="",B416=""),"",SUMIFS(Paradas!$F$5:$F$1004,Paradas!$A$5:$A$1004,A416,Paradas!$B$5:$B$1004,B416))</f>
        <v/>
      </c>
      <c r="L416" s="12">
        <f>IF(J416="","",J416-N(K416))</f>
        <v/>
      </c>
      <c r="M416" s="13">
        <f>IF(OR(A416="",B416=""),"",COUNTIFS(Paradas!$A$5:$A$1004,A416,Paradas!$B$5:$B$1004,B416))</f>
        <v/>
      </c>
      <c r="N416" s="12">
        <f>IF(OR(H416="",I416=""),"",I416-H416)</f>
        <v/>
      </c>
      <c r="O416" s="7" t="n"/>
    </row>
    <row r="417">
      <c r="A417" s="14" t="n"/>
      <c r="B417" s="7" t="n"/>
      <c r="C417" s="7" t="n"/>
      <c r="D417" s="7" t="n"/>
      <c r="E417" s="15" t="n"/>
      <c r="F417" s="15" t="n"/>
      <c r="G417" s="15" t="n"/>
      <c r="H417" s="16" t="n"/>
      <c r="I417" s="16" t="n"/>
      <c r="J417" s="12">
        <f>IF(OR(E417="",F417=""),"",ROUND((MOD(F417-E417,1)-N(G417))*24,2))</f>
        <v/>
      </c>
      <c r="K417" s="12">
        <f>IF(OR(A417="",B417=""),"",SUMIFS(Paradas!$F$5:$F$1004,Paradas!$A$5:$A$1004,A417,Paradas!$B$5:$B$1004,B417))</f>
        <v/>
      </c>
      <c r="L417" s="12">
        <f>IF(J417="","",J417-N(K417))</f>
        <v/>
      </c>
      <c r="M417" s="13">
        <f>IF(OR(A417="",B417=""),"",COUNTIFS(Paradas!$A$5:$A$1004,A417,Paradas!$B$5:$B$1004,B417))</f>
        <v/>
      </c>
      <c r="N417" s="12">
        <f>IF(OR(H417="",I417=""),"",I417-H417)</f>
        <v/>
      </c>
      <c r="O417" s="7" t="n"/>
    </row>
    <row r="418">
      <c r="A418" s="14" t="n"/>
      <c r="B418" s="7" t="n"/>
      <c r="C418" s="7" t="n"/>
      <c r="D418" s="7" t="n"/>
      <c r="E418" s="15" t="n"/>
      <c r="F418" s="15" t="n"/>
      <c r="G418" s="15" t="n"/>
      <c r="H418" s="16" t="n"/>
      <c r="I418" s="16" t="n"/>
      <c r="J418" s="12">
        <f>IF(OR(E418="",F418=""),"",ROUND((MOD(F418-E418,1)-N(G418))*24,2))</f>
        <v/>
      </c>
      <c r="K418" s="12">
        <f>IF(OR(A418="",B418=""),"",SUMIFS(Paradas!$F$5:$F$1004,Paradas!$A$5:$A$1004,A418,Paradas!$B$5:$B$1004,B418))</f>
        <v/>
      </c>
      <c r="L418" s="12">
        <f>IF(J418="","",J418-N(K418))</f>
        <v/>
      </c>
      <c r="M418" s="13">
        <f>IF(OR(A418="",B418=""),"",COUNTIFS(Paradas!$A$5:$A$1004,A418,Paradas!$B$5:$B$1004,B418))</f>
        <v/>
      </c>
      <c r="N418" s="12">
        <f>IF(OR(H418="",I418=""),"",I418-H418)</f>
        <v/>
      </c>
      <c r="O418" s="7" t="n"/>
    </row>
    <row r="419">
      <c r="A419" s="14" t="n"/>
      <c r="B419" s="7" t="n"/>
      <c r="C419" s="7" t="n"/>
      <c r="D419" s="7" t="n"/>
      <c r="E419" s="15" t="n"/>
      <c r="F419" s="15" t="n"/>
      <c r="G419" s="15" t="n"/>
      <c r="H419" s="16" t="n"/>
      <c r="I419" s="16" t="n"/>
      <c r="J419" s="12">
        <f>IF(OR(E419="",F419=""),"",ROUND((MOD(F419-E419,1)-N(G419))*24,2))</f>
        <v/>
      </c>
      <c r="K419" s="12">
        <f>IF(OR(A419="",B419=""),"",SUMIFS(Paradas!$F$5:$F$1004,Paradas!$A$5:$A$1004,A419,Paradas!$B$5:$B$1004,B419))</f>
        <v/>
      </c>
      <c r="L419" s="12">
        <f>IF(J419="","",J419-N(K419))</f>
        <v/>
      </c>
      <c r="M419" s="13">
        <f>IF(OR(A419="",B419=""),"",COUNTIFS(Paradas!$A$5:$A$1004,A419,Paradas!$B$5:$B$1004,B419))</f>
        <v/>
      </c>
      <c r="N419" s="12">
        <f>IF(OR(H419="",I419=""),"",I419-H419)</f>
        <v/>
      </c>
      <c r="O419" s="7" t="n"/>
    </row>
    <row r="420">
      <c r="A420" s="14" t="n"/>
      <c r="B420" s="7" t="n"/>
      <c r="C420" s="7" t="n"/>
      <c r="D420" s="7" t="n"/>
      <c r="E420" s="15" t="n"/>
      <c r="F420" s="15" t="n"/>
      <c r="G420" s="15" t="n"/>
      <c r="H420" s="16" t="n"/>
      <c r="I420" s="16" t="n"/>
      <c r="J420" s="12">
        <f>IF(OR(E420="",F420=""),"",ROUND((MOD(F420-E420,1)-N(G420))*24,2))</f>
        <v/>
      </c>
      <c r="K420" s="12">
        <f>IF(OR(A420="",B420=""),"",SUMIFS(Paradas!$F$5:$F$1004,Paradas!$A$5:$A$1004,A420,Paradas!$B$5:$B$1004,B420))</f>
        <v/>
      </c>
      <c r="L420" s="12">
        <f>IF(J420="","",J420-N(K420))</f>
        <v/>
      </c>
      <c r="M420" s="13">
        <f>IF(OR(A420="",B420=""),"",COUNTIFS(Paradas!$A$5:$A$1004,A420,Paradas!$B$5:$B$1004,B420))</f>
        <v/>
      </c>
      <c r="N420" s="12">
        <f>IF(OR(H420="",I420=""),"",I420-H420)</f>
        <v/>
      </c>
      <c r="O420" s="7" t="n"/>
    </row>
    <row r="421">
      <c r="A421" s="14" t="n"/>
      <c r="B421" s="7" t="n"/>
      <c r="C421" s="7" t="n"/>
      <c r="D421" s="7" t="n"/>
      <c r="E421" s="15" t="n"/>
      <c r="F421" s="15" t="n"/>
      <c r="G421" s="15" t="n"/>
      <c r="H421" s="16" t="n"/>
      <c r="I421" s="16" t="n"/>
      <c r="J421" s="12">
        <f>IF(OR(E421="",F421=""),"",ROUND((MOD(F421-E421,1)-N(G421))*24,2))</f>
        <v/>
      </c>
      <c r="K421" s="12">
        <f>IF(OR(A421="",B421=""),"",SUMIFS(Paradas!$F$5:$F$1004,Paradas!$A$5:$A$1004,A421,Paradas!$B$5:$B$1004,B421))</f>
        <v/>
      </c>
      <c r="L421" s="12">
        <f>IF(J421="","",J421-N(K421))</f>
        <v/>
      </c>
      <c r="M421" s="13">
        <f>IF(OR(A421="",B421=""),"",COUNTIFS(Paradas!$A$5:$A$1004,A421,Paradas!$B$5:$B$1004,B421))</f>
        <v/>
      </c>
      <c r="N421" s="12">
        <f>IF(OR(H421="",I421=""),"",I421-H421)</f>
        <v/>
      </c>
      <c r="O421" s="7" t="n"/>
    </row>
    <row r="422">
      <c r="A422" s="14" t="n"/>
      <c r="B422" s="7" t="n"/>
      <c r="C422" s="7" t="n"/>
      <c r="D422" s="7" t="n"/>
      <c r="E422" s="15" t="n"/>
      <c r="F422" s="15" t="n"/>
      <c r="G422" s="15" t="n"/>
      <c r="H422" s="16" t="n"/>
      <c r="I422" s="16" t="n"/>
      <c r="J422" s="12">
        <f>IF(OR(E422="",F422=""),"",ROUND((MOD(F422-E422,1)-N(G422))*24,2))</f>
        <v/>
      </c>
      <c r="K422" s="12">
        <f>IF(OR(A422="",B422=""),"",SUMIFS(Paradas!$F$5:$F$1004,Paradas!$A$5:$A$1004,A422,Paradas!$B$5:$B$1004,B422))</f>
        <v/>
      </c>
      <c r="L422" s="12">
        <f>IF(J422="","",J422-N(K422))</f>
        <v/>
      </c>
      <c r="M422" s="13">
        <f>IF(OR(A422="",B422=""),"",COUNTIFS(Paradas!$A$5:$A$1004,A422,Paradas!$B$5:$B$1004,B422))</f>
        <v/>
      </c>
      <c r="N422" s="12">
        <f>IF(OR(H422="",I422=""),"",I422-H422)</f>
        <v/>
      </c>
      <c r="O422" s="7" t="n"/>
    </row>
    <row r="423">
      <c r="A423" s="14" t="n"/>
      <c r="B423" s="7" t="n"/>
      <c r="C423" s="7" t="n"/>
      <c r="D423" s="7" t="n"/>
      <c r="E423" s="15" t="n"/>
      <c r="F423" s="15" t="n"/>
      <c r="G423" s="15" t="n"/>
      <c r="H423" s="16" t="n"/>
      <c r="I423" s="16" t="n"/>
      <c r="J423" s="12">
        <f>IF(OR(E423="",F423=""),"",ROUND((MOD(F423-E423,1)-N(G423))*24,2))</f>
        <v/>
      </c>
      <c r="K423" s="12">
        <f>IF(OR(A423="",B423=""),"",SUMIFS(Paradas!$F$5:$F$1004,Paradas!$A$5:$A$1004,A423,Paradas!$B$5:$B$1004,B423))</f>
        <v/>
      </c>
      <c r="L423" s="12">
        <f>IF(J423="","",J423-N(K423))</f>
        <v/>
      </c>
      <c r="M423" s="13">
        <f>IF(OR(A423="",B423=""),"",COUNTIFS(Paradas!$A$5:$A$1004,A423,Paradas!$B$5:$B$1004,B423))</f>
        <v/>
      </c>
      <c r="N423" s="12">
        <f>IF(OR(H423="",I423=""),"",I423-H423)</f>
        <v/>
      </c>
      <c r="O423" s="7" t="n"/>
    </row>
    <row r="424">
      <c r="A424" s="14" t="n"/>
      <c r="B424" s="7" t="n"/>
      <c r="C424" s="7" t="n"/>
      <c r="D424" s="7" t="n"/>
      <c r="E424" s="15" t="n"/>
      <c r="F424" s="15" t="n"/>
      <c r="G424" s="15" t="n"/>
      <c r="H424" s="16" t="n"/>
      <c r="I424" s="16" t="n"/>
      <c r="J424" s="12">
        <f>IF(OR(E424="",F424=""),"",ROUND((MOD(F424-E424,1)-N(G424))*24,2))</f>
        <v/>
      </c>
      <c r="K424" s="12">
        <f>IF(OR(A424="",B424=""),"",SUMIFS(Paradas!$F$5:$F$1004,Paradas!$A$5:$A$1004,A424,Paradas!$B$5:$B$1004,B424))</f>
        <v/>
      </c>
      <c r="L424" s="12">
        <f>IF(J424="","",J424-N(K424))</f>
        <v/>
      </c>
      <c r="M424" s="13">
        <f>IF(OR(A424="",B424=""),"",COUNTIFS(Paradas!$A$5:$A$1004,A424,Paradas!$B$5:$B$1004,B424))</f>
        <v/>
      </c>
      <c r="N424" s="12">
        <f>IF(OR(H424="",I424=""),"",I424-H424)</f>
        <v/>
      </c>
      <c r="O424" s="7" t="n"/>
    </row>
    <row r="425">
      <c r="A425" s="14" t="n"/>
      <c r="B425" s="7" t="n"/>
      <c r="C425" s="7" t="n"/>
      <c r="D425" s="7" t="n"/>
      <c r="E425" s="15" t="n"/>
      <c r="F425" s="15" t="n"/>
      <c r="G425" s="15" t="n"/>
      <c r="H425" s="16" t="n"/>
      <c r="I425" s="16" t="n"/>
      <c r="J425" s="12">
        <f>IF(OR(E425="",F425=""),"",ROUND((MOD(F425-E425,1)-N(G425))*24,2))</f>
        <v/>
      </c>
      <c r="K425" s="12">
        <f>IF(OR(A425="",B425=""),"",SUMIFS(Paradas!$F$5:$F$1004,Paradas!$A$5:$A$1004,A425,Paradas!$B$5:$B$1004,B425))</f>
        <v/>
      </c>
      <c r="L425" s="12">
        <f>IF(J425="","",J425-N(K425))</f>
        <v/>
      </c>
      <c r="M425" s="13">
        <f>IF(OR(A425="",B425=""),"",COUNTIFS(Paradas!$A$5:$A$1004,A425,Paradas!$B$5:$B$1004,B425))</f>
        <v/>
      </c>
      <c r="N425" s="12">
        <f>IF(OR(H425="",I425=""),"",I425-H425)</f>
        <v/>
      </c>
      <c r="O425" s="7" t="n"/>
    </row>
    <row r="426">
      <c r="A426" s="14" t="n"/>
      <c r="B426" s="7" t="n"/>
      <c r="C426" s="7" t="n"/>
      <c r="D426" s="7" t="n"/>
      <c r="E426" s="15" t="n"/>
      <c r="F426" s="15" t="n"/>
      <c r="G426" s="15" t="n"/>
      <c r="H426" s="16" t="n"/>
      <c r="I426" s="16" t="n"/>
      <c r="J426" s="12">
        <f>IF(OR(E426="",F426=""),"",ROUND((MOD(F426-E426,1)-N(G426))*24,2))</f>
        <v/>
      </c>
      <c r="K426" s="12">
        <f>IF(OR(A426="",B426=""),"",SUMIFS(Paradas!$F$5:$F$1004,Paradas!$A$5:$A$1004,A426,Paradas!$B$5:$B$1004,B426))</f>
        <v/>
      </c>
      <c r="L426" s="12">
        <f>IF(J426="","",J426-N(K426))</f>
        <v/>
      </c>
      <c r="M426" s="13">
        <f>IF(OR(A426="",B426=""),"",COUNTIFS(Paradas!$A$5:$A$1004,A426,Paradas!$B$5:$B$1004,B426))</f>
        <v/>
      </c>
      <c r="N426" s="12">
        <f>IF(OR(H426="",I426=""),"",I426-H426)</f>
        <v/>
      </c>
      <c r="O426" s="7" t="n"/>
    </row>
    <row r="427">
      <c r="A427" s="14" t="n"/>
      <c r="B427" s="7" t="n"/>
      <c r="C427" s="7" t="n"/>
      <c r="D427" s="7" t="n"/>
      <c r="E427" s="15" t="n"/>
      <c r="F427" s="15" t="n"/>
      <c r="G427" s="15" t="n"/>
      <c r="H427" s="16" t="n"/>
      <c r="I427" s="16" t="n"/>
      <c r="J427" s="12">
        <f>IF(OR(E427="",F427=""),"",ROUND((MOD(F427-E427,1)-N(G427))*24,2))</f>
        <v/>
      </c>
      <c r="K427" s="12">
        <f>IF(OR(A427="",B427=""),"",SUMIFS(Paradas!$F$5:$F$1004,Paradas!$A$5:$A$1004,A427,Paradas!$B$5:$B$1004,B427))</f>
        <v/>
      </c>
      <c r="L427" s="12">
        <f>IF(J427="","",J427-N(K427))</f>
        <v/>
      </c>
      <c r="M427" s="13">
        <f>IF(OR(A427="",B427=""),"",COUNTIFS(Paradas!$A$5:$A$1004,A427,Paradas!$B$5:$B$1004,B427))</f>
        <v/>
      </c>
      <c r="N427" s="12">
        <f>IF(OR(H427="",I427=""),"",I427-H427)</f>
        <v/>
      </c>
      <c r="O427" s="7" t="n"/>
    </row>
    <row r="428">
      <c r="A428" s="14" t="n"/>
      <c r="B428" s="7" t="n"/>
      <c r="C428" s="7" t="n"/>
      <c r="D428" s="7" t="n"/>
      <c r="E428" s="15" t="n"/>
      <c r="F428" s="15" t="n"/>
      <c r="G428" s="15" t="n"/>
      <c r="H428" s="16" t="n"/>
      <c r="I428" s="16" t="n"/>
      <c r="J428" s="12">
        <f>IF(OR(E428="",F428=""),"",ROUND((MOD(F428-E428,1)-N(G428))*24,2))</f>
        <v/>
      </c>
      <c r="K428" s="12">
        <f>IF(OR(A428="",B428=""),"",SUMIFS(Paradas!$F$5:$F$1004,Paradas!$A$5:$A$1004,A428,Paradas!$B$5:$B$1004,B428))</f>
        <v/>
      </c>
      <c r="L428" s="12">
        <f>IF(J428="","",J428-N(K428))</f>
        <v/>
      </c>
      <c r="M428" s="13">
        <f>IF(OR(A428="",B428=""),"",COUNTIFS(Paradas!$A$5:$A$1004,A428,Paradas!$B$5:$B$1004,B428))</f>
        <v/>
      </c>
      <c r="N428" s="12">
        <f>IF(OR(H428="",I428=""),"",I428-H428)</f>
        <v/>
      </c>
      <c r="O428" s="7" t="n"/>
    </row>
    <row r="429">
      <c r="A429" s="14" t="n"/>
      <c r="B429" s="7" t="n"/>
      <c r="C429" s="7" t="n"/>
      <c r="D429" s="7" t="n"/>
      <c r="E429" s="15" t="n"/>
      <c r="F429" s="15" t="n"/>
      <c r="G429" s="15" t="n"/>
      <c r="H429" s="16" t="n"/>
      <c r="I429" s="16" t="n"/>
      <c r="J429" s="12">
        <f>IF(OR(E429="",F429=""),"",ROUND((MOD(F429-E429,1)-N(G429))*24,2))</f>
        <v/>
      </c>
      <c r="K429" s="12">
        <f>IF(OR(A429="",B429=""),"",SUMIFS(Paradas!$F$5:$F$1004,Paradas!$A$5:$A$1004,A429,Paradas!$B$5:$B$1004,B429))</f>
        <v/>
      </c>
      <c r="L429" s="12">
        <f>IF(J429="","",J429-N(K429))</f>
        <v/>
      </c>
      <c r="M429" s="13">
        <f>IF(OR(A429="",B429=""),"",COUNTIFS(Paradas!$A$5:$A$1004,A429,Paradas!$B$5:$B$1004,B429))</f>
        <v/>
      </c>
      <c r="N429" s="12">
        <f>IF(OR(H429="",I429=""),"",I429-H429)</f>
        <v/>
      </c>
      <c r="O429" s="7" t="n"/>
    </row>
    <row r="430">
      <c r="A430" s="14" t="n"/>
      <c r="B430" s="7" t="n"/>
      <c r="C430" s="7" t="n"/>
      <c r="D430" s="7" t="n"/>
      <c r="E430" s="15" t="n"/>
      <c r="F430" s="15" t="n"/>
      <c r="G430" s="15" t="n"/>
      <c r="H430" s="16" t="n"/>
      <c r="I430" s="16" t="n"/>
      <c r="J430" s="12">
        <f>IF(OR(E430="",F430=""),"",ROUND((MOD(F430-E430,1)-N(G430))*24,2))</f>
        <v/>
      </c>
      <c r="K430" s="12">
        <f>IF(OR(A430="",B430=""),"",SUMIFS(Paradas!$F$5:$F$1004,Paradas!$A$5:$A$1004,A430,Paradas!$B$5:$B$1004,B430))</f>
        <v/>
      </c>
      <c r="L430" s="12">
        <f>IF(J430="","",J430-N(K430))</f>
        <v/>
      </c>
      <c r="M430" s="13">
        <f>IF(OR(A430="",B430=""),"",COUNTIFS(Paradas!$A$5:$A$1004,A430,Paradas!$B$5:$B$1004,B430))</f>
        <v/>
      </c>
      <c r="N430" s="12">
        <f>IF(OR(H430="",I430=""),"",I430-H430)</f>
        <v/>
      </c>
      <c r="O430" s="7" t="n"/>
    </row>
    <row r="431">
      <c r="A431" s="14" t="n"/>
      <c r="B431" s="7" t="n"/>
      <c r="C431" s="7" t="n"/>
      <c r="D431" s="7" t="n"/>
      <c r="E431" s="15" t="n"/>
      <c r="F431" s="15" t="n"/>
      <c r="G431" s="15" t="n"/>
      <c r="H431" s="16" t="n"/>
      <c r="I431" s="16" t="n"/>
      <c r="J431" s="12">
        <f>IF(OR(E431="",F431=""),"",ROUND((MOD(F431-E431,1)-N(G431))*24,2))</f>
        <v/>
      </c>
      <c r="K431" s="12">
        <f>IF(OR(A431="",B431=""),"",SUMIFS(Paradas!$F$5:$F$1004,Paradas!$A$5:$A$1004,A431,Paradas!$B$5:$B$1004,B431))</f>
        <v/>
      </c>
      <c r="L431" s="12">
        <f>IF(J431="","",J431-N(K431))</f>
        <v/>
      </c>
      <c r="M431" s="13">
        <f>IF(OR(A431="",B431=""),"",COUNTIFS(Paradas!$A$5:$A$1004,A431,Paradas!$B$5:$B$1004,B431))</f>
        <v/>
      </c>
      <c r="N431" s="12">
        <f>IF(OR(H431="",I431=""),"",I431-H431)</f>
        <v/>
      </c>
      <c r="O431" s="7" t="n"/>
    </row>
    <row r="432">
      <c r="A432" s="14" t="n"/>
      <c r="B432" s="7" t="n"/>
      <c r="C432" s="7" t="n"/>
      <c r="D432" s="7" t="n"/>
      <c r="E432" s="15" t="n"/>
      <c r="F432" s="15" t="n"/>
      <c r="G432" s="15" t="n"/>
      <c r="H432" s="16" t="n"/>
      <c r="I432" s="16" t="n"/>
      <c r="J432" s="12">
        <f>IF(OR(E432="",F432=""),"",ROUND((MOD(F432-E432,1)-N(G432))*24,2))</f>
        <v/>
      </c>
      <c r="K432" s="12">
        <f>IF(OR(A432="",B432=""),"",SUMIFS(Paradas!$F$5:$F$1004,Paradas!$A$5:$A$1004,A432,Paradas!$B$5:$B$1004,B432))</f>
        <v/>
      </c>
      <c r="L432" s="12">
        <f>IF(J432="","",J432-N(K432))</f>
        <v/>
      </c>
      <c r="M432" s="13">
        <f>IF(OR(A432="",B432=""),"",COUNTIFS(Paradas!$A$5:$A$1004,A432,Paradas!$B$5:$B$1004,B432))</f>
        <v/>
      </c>
      <c r="N432" s="12">
        <f>IF(OR(H432="",I432=""),"",I432-H432)</f>
        <v/>
      </c>
      <c r="O432" s="7" t="n"/>
    </row>
    <row r="433">
      <c r="A433" s="14" t="n"/>
      <c r="B433" s="7" t="n"/>
      <c r="C433" s="7" t="n"/>
      <c r="D433" s="7" t="n"/>
      <c r="E433" s="15" t="n"/>
      <c r="F433" s="15" t="n"/>
      <c r="G433" s="15" t="n"/>
      <c r="H433" s="16" t="n"/>
      <c r="I433" s="16" t="n"/>
      <c r="J433" s="12">
        <f>IF(OR(E433="",F433=""),"",ROUND((MOD(F433-E433,1)-N(G433))*24,2))</f>
        <v/>
      </c>
      <c r="K433" s="12">
        <f>IF(OR(A433="",B433=""),"",SUMIFS(Paradas!$F$5:$F$1004,Paradas!$A$5:$A$1004,A433,Paradas!$B$5:$B$1004,B433))</f>
        <v/>
      </c>
      <c r="L433" s="12">
        <f>IF(J433="","",J433-N(K433))</f>
        <v/>
      </c>
      <c r="M433" s="13">
        <f>IF(OR(A433="",B433=""),"",COUNTIFS(Paradas!$A$5:$A$1004,A433,Paradas!$B$5:$B$1004,B433))</f>
        <v/>
      </c>
      <c r="N433" s="12">
        <f>IF(OR(H433="",I433=""),"",I433-H433)</f>
        <v/>
      </c>
      <c r="O433" s="7" t="n"/>
    </row>
    <row r="434">
      <c r="A434" s="14" t="n"/>
      <c r="B434" s="7" t="n"/>
      <c r="C434" s="7" t="n"/>
      <c r="D434" s="7" t="n"/>
      <c r="E434" s="15" t="n"/>
      <c r="F434" s="15" t="n"/>
      <c r="G434" s="15" t="n"/>
      <c r="H434" s="16" t="n"/>
      <c r="I434" s="16" t="n"/>
      <c r="J434" s="12">
        <f>IF(OR(E434="",F434=""),"",ROUND((MOD(F434-E434,1)-N(G434))*24,2))</f>
        <v/>
      </c>
      <c r="K434" s="12">
        <f>IF(OR(A434="",B434=""),"",SUMIFS(Paradas!$F$5:$F$1004,Paradas!$A$5:$A$1004,A434,Paradas!$B$5:$B$1004,B434))</f>
        <v/>
      </c>
      <c r="L434" s="12">
        <f>IF(J434="","",J434-N(K434))</f>
        <v/>
      </c>
      <c r="M434" s="13">
        <f>IF(OR(A434="",B434=""),"",COUNTIFS(Paradas!$A$5:$A$1004,A434,Paradas!$B$5:$B$1004,B434))</f>
        <v/>
      </c>
      <c r="N434" s="12">
        <f>IF(OR(H434="",I434=""),"",I434-H434)</f>
        <v/>
      </c>
      <c r="O434" s="7" t="n"/>
    </row>
    <row r="435">
      <c r="A435" s="14" t="n"/>
      <c r="B435" s="7" t="n"/>
      <c r="C435" s="7" t="n"/>
      <c r="D435" s="7" t="n"/>
      <c r="E435" s="15" t="n"/>
      <c r="F435" s="15" t="n"/>
      <c r="G435" s="15" t="n"/>
      <c r="H435" s="16" t="n"/>
      <c r="I435" s="16" t="n"/>
      <c r="J435" s="12">
        <f>IF(OR(E435="",F435=""),"",ROUND((MOD(F435-E435,1)-N(G435))*24,2))</f>
        <v/>
      </c>
      <c r="K435" s="12">
        <f>IF(OR(A435="",B435=""),"",SUMIFS(Paradas!$F$5:$F$1004,Paradas!$A$5:$A$1004,A435,Paradas!$B$5:$B$1004,B435))</f>
        <v/>
      </c>
      <c r="L435" s="12">
        <f>IF(J435="","",J435-N(K435))</f>
        <v/>
      </c>
      <c r="M435" s="13">
        <f>IF(OR(A435="",B435=""),"",COUNTIFS(Paradas!$A$5:$A$1004,A435,Paradas!$B$5:$B$1004,B435))</f>
        <v/>
      </c>
      <c r="N435" s="12">
        <f>IF(OR(H435="",I435=""),"",I435-H435)</f>
        <v/>
      </c>
      <c r="O435" s="7" t="n"/>
    </row>
    <row r="436">
      <c r="A436" s="14" t="n"/>
      <c r="B436" s="7" t="n"/>
      <c r="C436" s="7" t="n"/>
      <c r="D436" s="7" t="n"/>
      <c r="E436" s="15" t="n"/>
      <c r="F436" s="15" t="n"/>
      <c r="G436" s="15" t="n"/>
      <c r="H436" s="16" t="n"/>
      <c r="I436" s="16" t="n"/>
      <c r="J436" s="12">
        <f>IF(OR(E436="",F436=""),"",ROUND((MOD(F436-E436,1)-N(G436))*24,2))</f>
        <v/>
      </c>
      <c r="K436" s="12">
        <f>IF(OR(A436="",B436=""),"",SUMIFS(Paradas!$F$5:$F$1004,Paradas!$A$5:$A$1004,A436,Paradas!$B$5:$B$1004,B436))</f>
        <v/>
      </c>
      <c r="L436" s="12">
        <f>IF(J436="","",J436-N(K436))</f>
        <v/>
      </c>
      <c r="M436" s="13">
        <f>IF(OR(A436="",B436=""),"",COUNTIFS(Paradas!$A$5:$A$1004,A436,Paradas!$B$5:$B$1004,B436))</f>
        <v/>
      </c>
      <c r="N436" s="12">
        <f>IF(OR(H436="",I436=""),"",I436-H436)</f>
        <v/>
      </c>
      <c r="O436" s="7" t="n"/>
    </row>
    <row r="437">
      <c r="A437" s="14" t="n"/>
      <c r="B437" s="7" t="n"/>
      <c r="C437" s="7" t="n"/>
      <c r="D437" s="7" t="n"/>
      <c r="E437" s="15" t="n"/>
      <c r="F437" s="15" t="n"/>
      <c r="G437" s="15" t="n"/>
      <c r="H437" s="16" t="n"/>
      <c r="I437" s="16" t="n"/>
      <c r="J437" s="12">
        <f>IF(OR(E437="",F437=""),"",ROUND((MOD(F437-E437,1)-N(G437))*24,2))</f>
        <v/>
      </c>
      <c r="K437" s="12">
        <f>IF(OR(A437="",B437=""),"",SUMIFS(Paradas!$F$5:$F$1004,Paradas!$A$5:$A$1004,A437,Paradas!$B$5:$B$1004,B437))</f>
        <v/>
      </c>
      <c r="L437" s="12">
        <f>IF(J437="","",J437-N(K437))</f>
        <v/>
      </c>
      <c r="M437" s="13">
        <f>IF(OR(A437="",B437=""),"",COUNTIFS(Paradas!$A$5:$A$1004,A437,Paradas!$B$5:$B$1004,B437))</f>
        <v/>
      </c>
      <c r="N437" s="12">
        <f>IF(OR(H437="",I437=""),"",I437-H437)</f>
        <v/>
      </c>
      <c r="O437" s="7" t="n"/>
    </row>
    <row r="438">
      <c r="A438" s="14" t="n"/>
      <c r="B438" s="7" t="n"/>
      <c r="C438" s="7" t="n"/>
      <c r="D438" s="7" t="n"/>
      <c r="E438" s="15" t="n"/>
      <c r="F438" s="15" t="n"/>
      <c r="G438" s="15" t="n"/>
      <c r="H438" s="16" t="n"/>
      <c r="I438" s="16" t="n"/>
      <c r="J438" s="12">
        <f>IF(OR(E438="",F438=""),"",ROUND((MOD(F438-E438,1)-N(G438))*24,2))</f>
        <v/>
      </c>
      <c r="K438" s="12">
        <f>IF(OR(A438="",B438=""),"",SUMIFS(Paradas!$F$5:$F$1004,Paradas!$A$5:$A$1004,A438,Paradas!$B$5:$B$1004,B438))</f>
        <v/>
      </c>
      <c r="L438" s="12">
        <f>IF(J438="","",J438-N(K438))</f>
        <v/>
      </c>
      <c r="M438" s="13">
        <f>IF(OR(A438="",B438=""),"",COUNTIFS(Paradas!$A$5:$A$1004,A438,Paradas!$B$5:$B$1004,B438))</f>
        <v/>
      </c>
      <c r="N438" s="12">
        <f>IF(OR(H438="",I438=""),"",I438-H438)</f>
        <v/>
      </c>
      <c r="O438" s="7" t="n"/>
    </row>
    <row r="439">
      <c r="A439" s="14" t="n"/>
      <c r="B439" s="7" t="n"/>
      <c r="C439" s="7" t="n"/>
      <c r="D439" s="7" t="n"/>
      <c r="E439" s="15" t="n"/>
      <c r="F439" s="15" t="n"/>
      <c r="G439" s="15" t="n"/>
      <c r="H439" s="16" t="n"/>
      <c r="I439" s="16" t="n"/>
      <c r="J439" s="12">
        <f>IF(OR(E439="",F439=""),"",ROUND((MOD(F439-E439,1)-N(G439))*24,2))</f>
        <v/>
      </c>
      <c r="K439" s="12">
        <f>IF(OR(A439="",B439=""),"",SUMIFS(Paradas!$F$5:$F$1004,Paradas!$A$5:$A$1004,A439,Paradas!$B$5:$B$1004,B439))</f>
        <v/>
      </c>
      <c r="L439" s="12">
        <f>IF(J439="","",J439-N(K439))</f>
        <v/>
      </c>
      <c r="M439" s="13">
        <f>IF(OR(A439="",B439=""),"",COUNTIFS(Paradas!$A$5:$A$1004,A439,Paradas!$B$5:$B$1004,B439))</f>
        <v/>
      </c>
      <c r="N439" s="12">
        <f>IF(OR(H439="",I439=""),"",I439-H439)</f>
        <v/>
      </c>
      <c r="O439" s="7" t="n"/>
    </row>
    <row r="440">
      <c r="A440" s="14" t="n"/>
      <c r="B440" s="7" t="n"/>
      <c r="C440" s="7" t="n"/>
      <c r="D440" s="7" t="n"/>
      <c r="E440" s="15" t="n"/>
      <c r="F440" s="15" t="n"/>
      <c r="G440" s="15" t="n"/>
      <c r="H440" s="16" t="n"/>
      <c r="I440" s="16" t="n"/>
      <c r="J440" s="12">
        <f>IF(OR(E440="",F440=""),"",ROUND((MOD(F440-E440,1)-N(G440))*24,2))</f>
        <v/>
      </c>
      <c r="K440" s="12">
        <f>IF(OR(A440="",B440=""),"",SUMIFS(Paradas!$F$5:$F$1004,Paradas!$A$5:$A$1004,A440,Paradas!$B$5:$B$1004,B440))</f>
        <v/>
      </c>
      <c r="L440" s="12">
        <f>IF(J440="","",J440-N(K440))</f>
        <v/>
      </c>
      <c r="M440" s="13">
        <f>IF(OR(A440="",B440=""),"",COUNTIFS(Paradas!$A$5:$A$1004,A440,Paradas!$B$5:$B$1004,B440))</f>
        <v/>
      </c>
      <c r="N440" s="12">
        <f>IF(OR(H440="",I440=""),"",I440-H440)</f>
        <v/>
      </c>
      <c r="O440" s="7" t="n"/>
    </row>
    <row r="441">
      <c r="A441" s="14" t="n"/>
      <c r="B441" s="7" t="n"/>
      <c r="C441" s="7" t="n"/>
      <c r="D441" s="7" t="n"/>
      <c r="E441" s="15" t="n"/>
      <c r="F441" s="15" t="n"/>
      <c r="G441" s="15" t="n"/>
      <c r="H441" s="16" t="n"/>
      <c r="I441" s="16" t="n"/>
      <c r="J441" s="12">
        <f>IF(OR(E441="",F441=""),"",ROUND((MOD(F441-E441,1)-N(G441))*24,2))</f>
        <v/>
      </c>
      <c r="K441" s="12">
        <f>IF(OR(A441="",B441=""),"",SUMIFS(Paradas!$F$5:$F$1004,Paradas!$A$5:$A$1004,A441,Paradas!$B$5:$B$1004,B441))</f>
        <v/>
      </c>
      <c r="L441" s="12">
        <f>IF(J441="","",J441-N(K441))</f>
        <v/>
      </c>
      <c r="M441" s="13">
        <f>IF(OR(A441="",B441=""),"",COUNTIFS(Paradas!$A$5:$A$1004,A441,Paradas!$B$5:$B$1004,B441))</f>
        <v/>
      </c>
      <c r="N441" s="12">
        <f>IF(OR(H441="",I441=""),"",I441-H441)</f>
        <v/>
      </c>
      <c r="O441" s="7" t="n"/>
    </row>
    <row r="442">
      <c r="A442" s="14" t="n"/>
      <c r="B442" s="7" t="n"/>
      <c r="C442" s="7" t="n"/>
      <c r="D442" s="7" t="n"/>
      <c r="E442" s="15" t="n"/>
      <c r="F442" s="15" t="n"/>
      <c r="G442" s="15" t="n"/>
      <c r="H442" s="16" t="n"/>
      <c r="I442" s="16" t="n"/>
      <c r="J442" s="12">
        <f>IF(OR(E442="",F442=""),"",ROUND((MOD(F442-E442,1)-N(G442))*24,2))</f>
        <v/>
      </c>
      <c r="K442" s="12">
        <f>IF(OR(A442="",B442=""),"",SUMIFS(Paradas!$F$5:$F$1004,Paradas!$A$5:$A$1004,A442,Paradas!$B$5:$B$1004,B442))</f>
        <v/>
      </c>
      <c r="L442" s="12">
        <f>IF(J442="","",J442-N(K442))</f>
        <v/>
      </c>
      <c r="M442" s="13">
        <f>IF(OR(A442="",B442=""),"",COUNTIFS(Paradas!$A$5:$A$1004,A442,Paradas!$B$5:$B$1004,B442))</f>
        <v/>
      </c>
      <c r="N442" s="12">
        <f>IF(OR(H442="",I442=""),"",I442-H442)</f>
        <v/>
      </c>
      <c r="O442" s="7" t="n"/>
    </row>
    <row r="443">
      <c r="A443" s="14" t="n"/>
      <c r="B443" s="7" t="n"/>
      <c r="C443" s="7" t="n"/>
      <c r="D443" s="7" t="n"/>
      <c r="E443" s="15" t="n"/>
      <c r="F443" s="15" t="n"/>
      <c r="G443" s="15" t="n"/>
      <c r="H443" s="16" t="n"/>
      <c r="I443" s="16" t="n"/>
      <c r="J443" s="12">
        <f>IF(OR(E443="",F443=""),"",ROUND((MOD(F443-E443,1)-N(G443))*24,2))</f>
        <v/>
      </c>
      <c r="K443" s="12">
        <f>IF(OR(A443="",B443=""),"",SUMIFS(Paradas!$F$5:$F$1004,Paradas!$A$5:$A$1004,A443,Paradas!$B$5:$B$1004,B443))</f>
        <v/>
      </c>
      <c r="L443" s="12">
        <f>IF(J443="","",J443-N(K443))</f>
        <v/>
      </c>
      <c r="M443" s="13">
        <f>IF(OR(A443="",B443=""),"",COUNTIFS(Paradas!$A$5:$A$1004,A443,Paradas!$B$5:$B$1004,B443))</f>
        <v/>
      </c>
      <c r="N443" s="12">
        <f>IF(OR(H443="",I443=""),"",I443-H443)</f>
        <v/>
      </c>
      <c r="O443" s="7" t="n"/>
    </row>
    <row r="444">
      <c r="A444" s="14" t="n"/>
      <c r="B444" s="7" t="n"/>
      <c r="C444" s="7" t="n"/>
      <c r="D444" s="7" t="n"/>
      <c r="E444" s="15" t="n"/>
      <c r="F444" s="15" t="n"/>
      <c r="G444" s="15" t="n"/>
      <c r="H444" s="16" t="n"/>
      <c r="I444" s="16" t="n"/>
      <c r="J444" s="12">
        <f>IF(OR(E444="",F444=""),"",ROUND((MOD(F444-E444,1)-N(G444))*24,2))</f>
        <v/>
      </c>
      <c r="K444" s="12">
        <f>IF(OR(A444="",B444=""),"",SUMIFS(Paradas!$F$5:$F$1004,Paradas!$A$5:$A$1004,A444,Paradas!$B$5:$B$1004,B444))</f>
        <v/>
      </c>
      <c r="L444" s="12">
        <f>IF(J444="","",J444-N(K444))</f>
        <v/>
      </c>
      <c r="M444" s="13">
        <f>IF(OR(A444="",B444=""),"",COUNTIFS(Paradas!$A$5:$A$1004,A444,Paradas!$B$5:$B$1004,B444))</f>
        <v/>
      </c>
      <c r="N444" s="12">
        <f>IF(OR(H444="",I444=""),"",I444-H444)</f>
        <v/>
      </c>
      <c r="O444" s="7" t="n"/>
    </row>
    <row r="445">
      <c r="A445" s="14" t="n"/>
      <c r="B445" s="7" t="n"/>
      <c r="C445" s="7" t="n"/>
      <c r="D445" s="7" t="n"/>
      <c r="E445" s="15" t="n"/>
      <c r="F445" s="15" t="n"/>
      <c r="G445" s="15" t="n"/>
      <c r="H445" s="16" t="n"/>
      <c r="I445" s="16" t="n"/>
      <c r="J445" s="12">
        <f>IF(OR(E445="",F445=""),"",ROUND((MOD(F445-E445,1)-N(G445))*24,2))</f>
        <v/>
      </c>
      <c r="K445" s="12">
        <f>IF(OR(A445="",B445=""),"",SUMIFS(Paradas!$F$5:$F$1004,Paradas!$A$5:$A$1004,A445,Paradas!$B$5:$B$1004,B445))</f>
        <v/>
      </c>
      <c r="L445" s="12">
        <f>IF(J445="","",J445-N(K445))</f>
        <v/>
      </c>
      <c r="M445" s="13">
        <f>IF(OR(A445="",B445=""),"",COUNTIFS(Paradas!$A$5:$A$1004,A445,Paradas!$B$5:$B$1004,B445))</f>
        <v/>
      </c>
      <c r="N445" s="12">
        <f>IF(OR(H445="",I445=""),"",I445-H445)</f>
        <v/>
      </c>
      <c r="O445" s="7" t="n"/>
    </row>
    <row r="446">
      <c r="A446" s="14" t="n"/>
      <c r="B446" s="7" t="n"/>
      <c r="C446" s="7" t="n"/>
      <c r="D446" s="7" t="n"/>
      <c r="E446" s="15" t="n"/>
      <c r="F446" s="15" t="n"/>
      <c r="G446" s="15" t="n"/>
      <c r="H446" s="16" t="n"/>
      <c r="I446" s="16" t="n"/>
      <c r="J446" s="12">
        <f>IF(OR(E446="",F446=""),"",ROUND((MOD(F446-E446,1)-N(G446))*24,2))</f>
        <v/>
      </c>
      <c r="K446" s="12">
        <f>IF(OR(A446="",B446=""),"",SUMIFS(Paradas!$F$5:$F$1004,Paradas!$A$5:$A$1004,A446,Paradas!$B$5:$B$1004,B446))</f>
        <v/>
      </c>
      <c r="L446" s="12">
        <f>IF(J446="","",J446-N(K446))</f>
        <v/>
      </c>
      <c r="M446" s="13">
        <f>IF(OR(A446="",B446=""),"",COUNTIFS(Paradas!$A$5:$A$1004,A446,Paradas!$B$5:$B$1004,B446))</f>
        <v/>
      </c>
      <c r="N446" s="12">
        <f>IF(OR(H446="",I446=""),"",I446-H446)</f>
        <v/>
      </c>
      <c r="O446" s="7" t="n"/>
    </row>
    <row r="447">
      <c r="A447" s="14" t="n"/>
      <c r="B447" s="7" t="n"/>
      <c r="C447" s="7" t="n"/>
      <c r="D447" s="7" t="n"/>
      <c r="E447" s="15" t="n"/>
      <c r="F447" s="15" t="n"/>
      <c r="G447" s="15" t="n"/>
      <c r="H447" s="16" t="n"/>
      <c r="I447" s="16" t="n"/>
      <c r="J447" s="12">
        <f>IF(OR(E447="",F447=""),"",ROUND((MOD(F447-E447,1)-N(G447))*24,2))</f>
        <v/>
      </c>
      <c r="K447" s="12">
        <f>IF(OR(A447="",B447=""),"",SUMIFS(Paradas!$F$5:$F$1004,Paradas!$A$5:$A$1004,A447,Paradas!$B$5:$B$1004,B447))</f>
        <v/>
      </c>
      <c r="L447" s="12">
        <f>IF(J447="","",J447-N(K447))</f>
        <v/>
      </c>
      <c r="M447" s="13">
        <f>IF(OR(A447="",B447=""),"",COUNTIFS(Paradas!$A$5:$A$1004,A447,Paradas!$B$5:$B$1004,B447))</f>
        <v/>
      </c>
      <c r="N447" s="12">
        <f>IF(OR(H447="",I447=""),"",I447-H447)</f>
        <v/>
      </c>
      <c r="O447" s="7" t="n"/>
    </row>
    <row r="448">
      <c r="A448" s="14" t="n"/>
      <c r="B448" s="7" t="n"/>
      <c r="C448" s="7" t="n"/>
      <c r="D448" s="7" t="n"/>
      <c r="E448" s="15" t="n"/>
      <c r="F448" s="15" t="n"/>
      <c r="G448" s="15" t="n"/>
      <c r="H448" s="16" t="n"/>
      <c r="I448" s="16" t="n"/>
      <c r="J448" s="12">
        <f>IF(OR(E448="",F448=""),"",ROUND((MOD(F448-E448,1)-N(G448))*24,2))</f>
        <v/>
      </c>
      <c r="K448" s="12">
        <f>IF(OR(A448="",B448=""),"",SUMIFS(Paradas!$F$5:$F$1004,Paradas!$A$5:$A$1004,A448,Paradas!$B$5:$B$1004,B448))</f>
        <v/>
      </c>
      <c r="L448" s="12">
        <f>IF(J448="","",J448-N(K448))</f>
        <v/>
      </c>
      <c r="M448" s="13">
        <f>IF(OR(A448="",B448=""),"",COUNTIFS(Paradas!$A$5:$A$1004,A448,Paradas!$B$5:$B$1004,B448))</f>
        <v/>
      </c>
      <c r="N448" s="12">
        <f>IF(OR(H448="",I448=""),"",I448-H448)</f>
        <v/>
      </c>
      <c r="O448" s="7" t="n"/>
    </row>
    <row r="449">
      <c r="A449" s="14" t="n"/>
      <c r="B449" s="7" t="n"/>
      <c r="C449" s="7" t="n"/>
      <c r="D449" s="7" t="n"/>
      <c r="E449" s="15" t="n"/>
      <c r="F449" s="15" t="n"/>
      <c r="G449" s="15" t="n"/>
      <c r="H449" s="16" t="n"/>
      <c r="I449" s="16" t="n"/>
      <c r="J449" s="12">
        <f>IF(OR(E449="",F449=""),"",ROUND((MOD(F449-E449,1)-N(G449))*24,2))</f>
        <v/>
      </c>
      <c r="K449" s="12">
        <f>IF(OR(A449="",B449=""),"",SUMIFS(Paradas!$F$5:$F$1004,Paradas!$A$5:$A$1004,A449,Paradas!$B$5:$B$1004,B449))</f>
        <v/>
      </c>
      <c r="L449" s="12">
        <f>IF(J449="","",J449-N(K449))</f>
        <v/>
      </c>
      <c r="M449" s="13">
        <f>IF(OR(A449="",B449=""),"",COUNTIFS(Paradas!$A$5:$A$1004,A449,Paradas!$B$5:$B$1004,B449))</f>
        <v/>
      </c>
      <c r="N449" s="12">
        <f>IF(OR(H449="",I449=""),"",I449-H449)</f>
        <v/>
      </c>
      <c r="O449" s="7" t="n"/>
    </row>
    <row r="450">
      <c r="A450" s="14" t="n"/>
      <c r="B450" s="7" t="n"/>
      <c r="C450" s="7" t="n"/>
      <c r="D450" s="7" t="n"/>
      <c r="E450" s="15" t="n"/>
      <c r="F450" s="15" t="n"/>
      <c r="G450" s="15" t="n"/>
      <c r="H450" s="16" t="n"/>
      <c r="I450" s="16" t="n"/>
      <c r="J450" s="12">
        <f>IF(OR(E450="",F450=""),"",ROUND((MOD(F450-E450,1)-N(G450))*24,2))</f>
        <v/>
      </c>
      <c r="K450" s="12">
        <f>IF(OR(A450="",B450=""),"",SUMIFS(Paradas!$F$5:$F$1004,Paradas!$A$5:$A$1004,A450,Paradas!$B$5:$B$1004,B450))</f>
        <v/>
      </c>
      <c r="L450" s="12">
        <f>IF(J450="","",J450-N(K450))</f>
        <v/>
      </c>
      <c r="M450" s="13">
        <f>IF(OR(A450="",B450=""),"",COUNTIFS(Paradas!$A$5:$A$1004,A450,Paradas!$B$5:$B$1004,B450))</f>
        <v/>
      </c>
      <c r="N450" s="12">
        <f>IF(OR(H450="",I450=""),"",I450-H450)</f>
        <v/>
      </c>
      <c r="O450" s="7" t="n"/>
    </row>
    <row r="451">
      <c r="A451" s="14" t="n"/>
      <c r="B451" s="7" t="n"/>
      <c r="C451" s="7" t="n"/>
      <c r="D451" s="7" t="n"/>
      <c r="E451" s="15" t="n"/>
      <c r="F451" s="15" t="n"/>
      <c r="G451" s="15" t="n"/>
      <c r="H451" s="16" t="n"/>
      <c r="I451" s="16" t="n"/>
      <c r="J451" s="12">
        <f>IF(OR(E451="",F451=""),"",ROUND((MOD(F451-E451,1)-N(G451))*24,2))</f>
        <v/>
      </c>
      <c r="K451" s="12">
        <f>IF(OR(A451="",B451=""),"",SUMIFS(Paradas!$F$5:$F$1004,Paradas!$A$5:$A$1004,A451,Paradas!$B$5:$B$1004,B451))</f>
        <v/>
      </c>
      <c r="L451" s="12">
        <f>IF(J451="","",J451-N(K451))</f>
        <v/>
      </c>
      <c r="M451" s="13">
        <f>IF(OR(A451="",B451=""),"",COUNTIFS(Paradas!$A$5:$A$1004,A451,Paradas!$B$5:$B$1004,B451))</f>
        <v/>
      </c>
      <c r="N451" s="12">
        <f>IF(OR(H451="",I451=""),"",I451-H451)</f>
        <v/>
      </c>
      <c r="O451" s="7" t="n"/>
    </row>
    <row r="452">
      <c r="A452" s="14" t="n"/>
      <c r="B452" s="7" t="n"/>
      <c r="C452" s="7" t="n"/>
      <c r="D452" s="7" t="n"/>
      <c r="E452" s="15" t="n"/>
      <c r="F452" s="15" t="n"/>
      <c r="G452" s="15" t="n"/>
      <c r="H452" s="16" t="n"/>
      <c r="I452" s="16" t="n"/>
      <c r="J452" s="12">
        <f>IF(OR(E452="",F452=""),"",ROUND((MOD(F452-E452,1)-N(G452))*24,2))</f>
        <v/>
      </c>
      <c r="K452" s="12">
        <f>IF(OR(A452="",B452=""),"",SUMIFS(Paradas!$F$5:$F$1004,Paradas!$A$5:$A$1004,A452,Paradas!$B$5:$B$1004,B452))</f>
        <v/>
      </c>
      <c r="L452" s="12">
        <f>IF(J452="","",J452-N(K452))</f>
        <v/>
      </c>
      <c r="M452" s="13">
        <f>IF(OR(A452="",B452=""),"",COUNTIFS(Paradas!$A$5:$A$1004,A452,Paradas!$B$5:$B$1004,B452))</f>
        <v/>
      </c>
      <c r="N452" s="12">
        <f>IF(OR(H452="",I452=""),"",I452-H452)</f>
        <v/>
      </c>
      <c r="O452" s="7" t="n"/>
    </row>
    <row r="453">
      <c r="A453" s="14" t="n"/>
      <c r="B453" s="7" t="n"/>
      <c r="C453" s="7" t="n"/>
      <c r="D453" s="7" t="n"/>
      <c r="E453" s="15" t="n"/>
      <c r="F453" s="15" t="n"/>
      <c r="G453" s="15" t="n"/>
      <c r="H453" s="16" t="n"/>
      <c r="I453" s="16" t="n"/>
      <c r="J453" s="12">
        <f>IF(OR(E453="",F453=""),"",ROUND((MOD(F453-E453,1)-N(G453))*24,2))</f>
        <v/>
      </c>
      <c r="K453" s="12">
        <f>IF(OR(A453="",B453=""),"",SUMIFS(Paradas!$F$5:$F$1004,Paradas!$A$5:$A$1004,A453,Paradas!$B$5:$B$1004,B453))</f>
        <v/>
      </c>
      <c r="L453" s="12">
        <f>IF(J453="","",J453-N(K453))</f>
        <v/>
      </c>
      <c r="M453" s="13">
        <f>IF(OR(A453="",B453=""),"",COUNTIFS(Paradas!$A$5:$A$1004,A453,Paradas!$B$5:$B$1004,B453))</f>
        <v/>
      </c>
      <c r="N453" s="12">
        <f>IF(OR(H453="",I453=""),"",I453-H453)</f>
        <v/>
      </c>
      <c r="O453" s="7" t="n"/>
    </row>
    <row r="454">
      <c r="A454" s="14" t="n"/>
      <c r="B454" s="7" t="n"/>
      <c r="C454" s="7" t="n"/>
      <c r="D454" s="7" t="n"/>
      <c r="E454" s="15" t="n"/>
      <c r="F454" s="15" t="n"/>
      <c r="G454" s="15" t="n"/>
      <c r="H454" s="16" t="n"/>
      <c r="I454" s="16" t="n"/>
      <c r="J454" s="12">
        <f>IF(OR(E454="",F454=""),"",ROUND((MOD(F454-E454,1)-N(G454))*24,2))</f>
        <v/>
      </c>
      <c r="K454" s="12">
        <f>IF(OR(A454="",B454=""),"",SUMIFS(Paradas!$F$5:$F$1004,Paradas!$A$5:$A$1004,A454,Paradas!$B$5:$B$1004,B454))</f>
        <v/>
      </c>
      <c r="L454" s="12">
        <f>IF(J454="","",J454-N(K454))</f>
        <v/>
      </c>
      <c r="M454" s="13">
        <f>IF(OR(A454="",B454=""),"",COUNTIFS(Paradas!$A$5:$A$1004,A454,Paradas!$B$5:$B$1004,B454))</f>
        <v/>
      </c>
      <c r="N454" s="12">
        <f>IF(OR(H454="",I454=""),"",I454-H454)</f>
        <v/>
      </c>
      <c r="O454" s="7" t="n"/>
    </row>
    <row r="455">
      <c r="A455" s="14" t="n"/>
      <c r="B455" s="7" t="n"/>
      <c r="C455" s="7" t="n"/>
      <c r="D455" s="7" t="n"/>
      <c r="E455" s="15" t="n"/>
      <c r="F455" s="15" t="n"/>
      <c r="G455" s="15" t="n"/>
      <c r="H455" s="16" t="n"/>
      <c r="I455" s="16" t="n"/>
      <c r="J455" s="12">
        <f>IF(OR(E455="",F455=""),"",ROUND((MOD(F455-E455,1)-N(G455))*24,2))</f>
        <v/>
      </c>
      <c r="K455" s="12">
        <f>IF(OR(A455="",B455=""),"",SUMIFS(Paradas!$F$5:$F$1004,Paradas!$A$5:$A$1004,A455,Paradas!$B$5:$B$1004,B455))</f>
        <v/>
      </c>
      <c r="L455" s="12">
        <f>IF(J455="","",J455-N(K455))</f>
        <v/>
      </c>
      <c r="M455" s="13">
        <f>IF(OR(A455="",B455=""),"",COUNTIFS(Paradas!$A$5:$A$1004,A455,Paradas!$B$5:$B$1004,B455))</f>
        <v/>
      </c>
      <c r="N455" s="12">
        <f>IF(OR(H455="",I455=""),"",I455-H455)</f>
        <v/>
      </c>
      <c r="O455" s="7" t="n"/>
    </row>
    <row r="456">
      <c r="A456" s="14" t="n"/>
      <c r="B456" s="7" t="n"/>
      <c r="C456" s="7" t="n"/>
      <c r="D456" s="7" t="n"/>
      <c r="E456" s="15" t="n"/>
      <c r="F456" s="15" t="n"/>
      <c r="G456" s="15" t="n"/>
      <c r="H456" s="16" t="n"/>
      <c r="I456" s="16" t="n"/>
      <c r="J456" s="12">
        <f>IF(OR(E456="",F456=""),"",ROUND((MOD(F456-E456,1)-N(G456))*24,2))</f>
        <v/>
      </c>
      <c r="K456" s="12">
        <f>IF(OR(A456="",B456=""),"",SUMIFS(Paradas!$F$5:$F$1004,Paradas!$A$5:$A$1004,A456,Paradas!$B$5:$B$1004,B456))</f>
        <v/>
      </c>
      <c r="L456" s="12">
        <f>IF(J456="","",J456-N(K456))</f>
        <v/>
      </c>
      <c r="M456" s="13">
        <f>IF(OR(A456="",B456=""),"",COUNTIFS(Paradas!$A$5:$A$1004,A456,Paradas!$B$5:$B$1004,B456))</f>
        <v/>
      </c>
      <c r="N456" s="12">
        <f>IF(OR(H456="",I456=""),"",I456-H456)</f>
        <v/>
      </c>
      <c r="O456" s="7" t="n"/>
    </row>
    <row r="457">
      <c r="A457" s="14" t="n"/>
      <c r="B457" s="7" t="n"/>
      <c r="C457" s="7" t="n"/>
      <c r="D457" s="7" t="n"/>
      <c r="E457" s="15" t="n"/>
      <c r="F457" s="15" t="n"/>
      <c r="G457" s="15" t="n"/>
      <c r="H457" s="16" t="n"/>
      <c r="I457" s="16" t="n"/>
      <c r="J457" s="12">
        <f>IF(OR(E457="",F457=""),"",ROUND((MOD(F457-E457,1)-N(G457))*24,2))</f>
        <v/>
      </c>
      <c r="K457" s="12">
        <f>IF(OR(A457="",B457=""),"",SUMIFS(Paradas!$F$5:$F$1004,Paradas!$A$5:$A$1004,A457,Paradas!$B$5:$B$1004,B457))</f>
        <v/>
      </c>
      <c r="L457" s="12">
        <f>IF(J457="","",J457-N(K457))</f>
        <v/>
      </c>
      <c r="M457" s="13">
        <f>IF(OR(A457="",B457=""),"",COUNTIFS(Paradas!$A$5:$A$1004,A457,Paradas!$B$5:$B$1004,B457))</f>
        <v/>
      </c>
      <c r="N457" s="12">
        <f>IF(OR(H457="",I457=""),"",I457-H457)</f>
        <v/>
      </c>
      <c r="O457" s="7" t="n"/>
    </row>
    <row r="458">
      <c r="A458" s="14" t="n"/>
      <c r="B458" s="7" t="n"/>
      <c r="C458" s="7" t="n"/>
      <c r="D458" s="7" t="n"/>
      <c r="E458" s="15" t="n"/>
      <c r="F458" s="15" t="n"/>
      <c r="G458" s="15" t="n"/>
      <c r="H458" s="16" t="n"/>
      <c r="I458" s="16" t="n"/>
      <c r="J458" s="12">
        <f>IF(OR(E458="",F458=""),"",ROUND((MOD(F458-E458,1)-N(G458))*24,2))</f>
        <v/>
      </c>
      <c r="K458" s="12">
        <f>IF(OR(A458="",B458=""),"",SUMIFS(Paradas!$F$5:$F$1004,Paradas!$A$5:$A$1004,A458,Paradas!$B$5:$B$1004,B458))</f>
        <v/>
      </c>
      <c r="L458" s="12">
        <f>IF(J458="","",J458-N(K458))</f>
        <v/>
      </c>
      <c r="M458" s="13">
        <f>IF(OR(A458="",B458=""),"",COUNTIFS(Paradas!$A$5:$A$1004,A458,Paradas!$B$5:$B$1004,B458))</f>
        <v/>
      </c>
      <c r="N458" s="12">
        <f>IF(OR(H458="",I458=""),"",I458-H458)</f>
        <v/>
      </c>
      <c r="O458" s="7" t="n"/>
    </row>
    <row r="459">
      <c r="A459" s="14" t="n"/>
      <c r="B459" s="7" t="n"/>
      <c r="C459" s="7" t="n"/>
      <c r="D459" s="7" t="n"/>
      <c r="E459" s="15" t="n"/>
      <c r="F459" s="15" t="n"/>
      <c r="G459" s="15" t="n"/>
      <c r="H459" s="16" t="n"/>
      <c r="I459" s="16" t="n"/>
      <c r="J459" s="12">
        <f>IF(OR(E459="",F459=""),"",ROUND((MOD(F459-E459,1)-N(G459))*24,2))</f>
        <v/>
      </c>
      <c r="K459" s="12">
        <f>IF(OR(A459="",B459=""),"",SUMIFS(Paradas!$F$5:$F$1004,Paradas!$A$5:$A$1004,A459,Paradas!$B$5:$B$1004,B459))</f>
        <v/>
      </c>
      <c r="L459" s="12">
        <f>IF(J459="","",J459-N(K459))</f>
        <v/>
      </c>
      <c r="M459" s="13">
        <f>IF(OR(A459="",B459=""),"",COUNTIFS(Paradas!$A$5:$A$1004,A459,Paradas!$B$5:$B$1004,B459))</f>
        <v/>
      </c>
      <c r="N459" s="12">
        <f>IF(OR(H459="",I459=""),"",I459-H459)</f>
        <v/>
      </c>
      <c r="O459" s="7" t="n"/>
    </row>
    <row r="460">
      <c r="A460" s="14" t="n"/>
      <c r="B460" s="7" t="n"/>
      <c r="C460" s="7" t="n"/>
      <c r="D460" s="7" t="n"/>
      <c r="E460" s="15" t="n"/>
      <c r="F460" s="15" t="n"/>
      <c r="G460" s="15" t="n"/>
      <c r="H460" s="16" t="n"/>
      <c r="I460" s="16" t="n"/>
      <c r="J460" s="12">
        <f>IF(OR(E460="",F460=""),"",ROUND((MOD(F460-E460,1)-N(G460))*24,2))</f>
        <v/>
      </c>
      <c r="K460" s="12">
        <f>IF(OR(A460="",B460=""),"",SUMIFS(Paradas!$F$5:$F$1004,Paradas!$A$5:$A$1004,A460,Paradas!$B$5:$B$1004,B460))</f>
        <v/>
      </c>
      <c r="L460" s="12">
        <f>IF(J460="","",J460-N(K460))</f>
        <v/>
      </c>
      <c r="M460" s="13">
        <f>IF(OR(A460="",B460=""),"",COUNTIFS(Paradas!$A$5:$A$1004,A460,Paradas!$B$5:$B$1004,B460))</f>
        <v/>
      </c>
      <c r="N460" s="12">
        <f>IF(OR(H460="",I460=""),"",I460-H460)</f>
        <v/>
      </c>
      <c r="O460" s="7" t="n"/>
    </row>
    <row r="461">
      <c r="A461" s="14" t="n"/>
      <c r="B461" s="7" t="n"/>
      <c r="C461" s="7" t="n"/>
      <c r="D461" s="7" t="n"/>
      <c r="E461" s="15" t="n"/>
      <c r="F461" s="15" t="n"/>
      <c r="G461" s="15" t="n"/>
      <c r="H461" s="16" t="n"/>
      <c r="I461" s="16" t="n"/>
      <c r="J461" s="12">
        <f>IF(OR(E461="",F461=""),"",ROUND((MOD(F461-E461,1)-N(G461))*24,2))</f>
        <v/>
      </c>
      <c r="K461" s="12">
        <f>IF(OR(A461="",B461=""),"",SUMIFS(Paradas!$F$5:$F$1004,Paradas!$A$5:$A$1004,A461,Paradas!$B$5:$B$1004,B461))</f>
        <v/>
      </c>
      <c r="L461" s="12">
        <f>IF(J461="","",J461-N(K461))</f>
        <v/>
      </c>
      <c r="M461" s="13">
        <f>IF(OR(A461="",B461=""),"",COUNTIFS(Paradas!$A$5:$A$1004,A461,Paradas!$B$5:$B$1004,B461))</f>
        <v/>
      </c>
      <c r="N461" s="12">
        <f>IF(OR(H461="",I461=""),"",I461-H461)</f>
        <v/>
      </c>
      <c r="O461" s="7" t="n"/>
    </row>
    <row r="462">
      <c r="A462" s="14" t="n"/>
      <c r="B462" s="7" t="n"/>
      <c r="C462" s="7" t="n"/>
      <c r="D462" s="7" t="n"/>
      <c r="E462" s="15" t="n"/>
      <c r="F462" s="15" t="n"/>
      <c r="G462" s="15" t="n"/>
      <c r="H462" s="16" t="n"/>
      <c r="I462" s="16" t="n"/>
      <c r="J462" s="12">
        <f>IF(OR(E462="",F462=""),"",ROUND((MOD(F462-E462,1)-N(G462))*24,2))</f>
        <v/>
      </c>
      <c r="K462" s="12">
        <f>IF(OR(A462="",B462=""),"",SUMIFS(Paradas!$F$5:$F$1004,Paradas!$A$5:$A$1004,A462,Paradas!$B$5:$B$1004,B462))</f>
        <v/>
      </c>
      <c r="L462" s="12">
        <f>IF(J462="","",J462-N(K462))</f>
        <v/>
      </c>
      <c r="M462" s="13">
        <f>IF(OR(A462="",B462=""),"",COUNTIFS(Paradas!$A$5:$A$1004,A462,Paradas!$B$5:$B$1004,B462))</f>
        <v/>
      </c>
      <c r="N462" s="12">
        <f>IF(OR(H462="",I462=""),"",I462-H462)</f>
        <v/>
      </c>
      <c r="O462" s="7" t="n"/>
    </row>
    <row r="463">
      <c r="A463" s="14" t="n"/>
      <c r="B463" s="7" t="n"/>
      <c r="C463" s="7" t="n"/>
      <c r="D463" s="7" t="n"/>
      <c r="E463" s="15" t="n"/>
      <c r="F463" s="15" t="n"/>
      <c r="G463" s="15" t="n"/>
      <c r="H463" s="16" t="n"/>
      <c r="I463" s="16" t="n"/>
      <c r="J463" s="12">
        <f>IF(OR(E463="",F463=""),"",ROUND((MOD(F463-E463,1)-N(G463))*24,2))</f>
        <v/>
      </c>
      <c r="K463" s="12">
        <f>IF(OR(A463="",B463=""),"",SUMIFS(Paradas!$F$5:$F$1004,Paradas!$A$5:$A$1004,A463,Paradas!$B$5:$B$1004,B463))</f>
        <v/>
      </c>
      <c r="L463" s="12">
        <f>IF(J463="","",J463-N(K463))</f>
        <v/>
      </c>
      <c r="M463" s="13">
        <f>IF(OR(A463="",B463=""),"",COUNTIFS(Paradas!$A$5:$A$1004,A463,Paradas!$B$5:$B$1004,B463))</f>
        <v/>
      </c>
      <c r="N463" s="12">
        <f>IF(OR(H463="",I463=""),"",I463-H463)</f>
        <v/>
      </c>
      <c r="O463" s="7" t="n"/>
    </row>
    <row r="464">
      <c r="A464" s="14" t="n"/>
      <c r="B464" s="7" t="n"/>
      <c r="C464" s="7" t="n"/>
      <c r="D464" s="7" t="n"/>
      <c r="E464" s="15" t="n"/>
      <c r="F464" s="15" t="n"/>
      <c r="G464" s="15" t="n"/>
      <c r="H464" s="16" t="n"/>
      <c r="I464" s="16" t="n"/>
      <c r="J464" s="12">
        <f>IF(OR(E464="",F464=""),"",ROUND((MOD(F464-E464,1)-N(G464))*24,2))</f>
        <v/>
      </c>
      <c r="K464" s="12">
        <f>IF(OR(A464="",B464=""),"",SUMIFS(Paradas!$F$5:$F$1004,Paradas!$A$5:$A$1004,A464,Paradas!$B$5:$B$1004,B464))</f>
        <v/>
      </c>
      <c r="L464" s="12">
        <f>IF(J464="","",J464-N(K464))</f>
        <v/>
      </c>
      <c r="M464" s="13">
        <f>IF(OR(A464="",B464=""),"",COUNTIFS(Paradas!$A$5:$A$1004,A464,Paradas!$B$5:$B$1004,B464))</f>
        <v/>
      </c>
      <c r="N464" s="12">
        <f>IF(OR(H464="",I464=""),"",I464-H464)</f>
        <v/>
      </c>
      <c r="O464" s="7" t="n"/>
    </row>
    <row r="465">
      <c r="A465" s="14" t="n"/>
      <c r="B465" s="7" t="n"/>
      <c r="C465" s="7" t="n"/>
      <c r="D465" s="7" t="n"/>
      <c r="E465" s="15" t="n"/>
      <c r="F465" s="15" t="n"/>
      <c r="G465" s="15" t="n"/>
      <c r="H465" s="16" t="n"/>
      <c r="I465" s="16" t="n"/>
      <c r="J465" s="12">
        <f>IF(OR(E465="",F465=""),"",ROUND((MOD(F465-E465,1)-N(G465))*24,2))</f>
        <v/>
      </c>
      <c r="K465" s="12">
        <f>IF(OR(A465="",B465=""),"",SUMIFS(Paradas!$F$5:$F$1004,Paradas!$A$5:$A$1004,A465,Paradas!$B$5:$B$1004,B465))</f>
        <v/>
      </c>
      <c r="L465" s="12">
        <f>IF(J465="","",J465-N(K465))</f>
        <v/>
      </c>
      <c r="M465" s="13">
        <f>IF(OR(A465="",B465=""),"",COUNTIFS(Paradas!$A$5:$A$1004,A465,Paradas!$B$5:$B$1004,B465))</f>
        <v/>
      </c>
      <c r="N465" s="12">
        <f>IF(OR(H465="",I465=""),"",I465-H465)</f>
        <v/>
      </c>
      <c r="O465" s="7" t="n"/>
    </row>
    <row r="466">
      <c r="A466" s="14" t="n"/>
      <c r="B466" s="7" t="n"/>
      <c r="C466" s="7" t="n"/>
      <c r="D466" s="7" t="n"/>
      <c r="E466" s="15" t="n"/>
      <c r="F466" s="15" t="n"/>
      <c r="G466" s="15" t="n"/>
      <c r="H466" s="16" t="n"/>
      <c r="I466" s="16" t="n"/>
      <c r="J466" s="12">
        <f>IF(OR(E466="",F466=""),"",ROUND((MOD(F466-E466,1)-N(G466))*24,2))</f>
        <v/>
      </c>
      <c r="K466" s="12">
        <f>IF(OR(A466="",B466=""),"",SUMIFS(Paradas!$F$5:$F$1004,Paradas!$A$5:$A$1004,A466,Paradas!$B$5:$B$1004,B466))</f>
        <v/>
      </c>
      <c r="L466" s="12">
        <f>IF(J466="","",J466-N(K466))</f>
        <v/>
      </c>
      <c r="M466" s="13">
        <f>IF(OR(A466="",B466=""),"",COUNTIFS(Paradas!$A$5:$A$1004,A466,Paradas!$B$5:$B$1004,B466))</f>
        <v/>
      </c>
      <c r="N466" s="12">
        <f>IF(OR(H466="",I466=""),"",I466-H466)</f>
        <v/>
      </c>
      <c r="O466" s="7" t="n"/>
    </row>
    <row r="467">
      <c r="A467" s="14" t="n"/>
      <c r="B467" s="7" t="n"/>
      <c r="C467" s="7" t="n"/>
      <c r="D467" s="7" t="n"/>
      <c r="E467" s="15" t="n"/>
      <c r="F467" s="15" t="n"/>
      <c r="G467" s="15" t="n"/>
      <c r="H467" s="16" t="n"/>
      <c r="I467" s="16" t="n"/>
      <c r="J467" s="12">
        <f>IF(OR(E467="",F467=""),"",ROUND((MOD(F467-E467,1)-N(G467))*24,2))</f>
        <v/>
      </c>
      <c r="K467" s="12">
        <f>IF(OR(A467="",B467=""),"",SUMIFS(Paradas!$F$5:$F$1004,Paradas!$A$5:$A$1004,A467,Paradas!$B$5:$B$1004,B467))</f>
        <v/>
      </c>
      <c r="L467" s="12">
        <f>IF(J467="","",J467-N(K467))</f>
        <v/>
      </c>
      <c r="M467" s="13">
        <f>IF(OR(A467="",B467=""),"",COUNTIFS(Paradas!$A$5:$A$1004,A467,Paradas!$B$5:$B$1004,B467))</f>
        <v/>
      </c>
      <c r="N467" s="12">
        <f>IF(OR(H467="",I467=""),"",I467-H467)</f>
        <v/>
      </c>
      <c r="O467" s="7" t="n"/>
    </row>
    <row r="468">
      <c r="A468" s="14" t="n"/>
      <c r="B468" s="7" t="n"/>
      <c r="C468" s="7" t="n"/>
      <c r="D468" s="7" t="n"/>
      <c r="E468" s="15" t="n"/>
      <c r="F468" s="15" t="n"/>
      <c r="G468" s="15" t="n"/>
      <c r="H468" s="16" t="n"/>
      <c r="I468" s="16" t="n"/>
      <c r="J468" s="12">
        <f>IF(OR(E468="",F468=""),"",ROUND((MOD(F468-E468,1)-N(G468))*24,2))</f>
        <v/>
      </c>
      <c r="K468" s="12">
        <f>IF(OR(A468="",B468=""),"",SUMIFS(Paradas!$F$5:$F$1004,Paradas!$A$5:$A$1004,A468,Paradas!$B$5:$B$1004,B468))</f>
        <v/>
      </c>
      <c r="L468" s="12">
        <f>IF(J468="","",J468-N(K468))</f>
        <v/>
      </c>
      <c r="M468" s="13">
        <f>IF(OR(A468="",B468=""),"",COUNTIFS(Paradas!$A$5:$A$1004,A468,Paradas!$B$5:$B$1004,B468))</f>
        <v/>
      </c>
      <c r="N468" s="12">
        <f>IF(OR(H468="",I468=""),"",I468-H468)</f>
        <v/>
      </c>
      <c r="O468" s="7" t="n"/>
    </row>
    <row r="469">
      <c r="A469" s="14" t="n"/>
      <c r="B469" s="7" t="n"/>
      <c r="C469" s="7" t="n"/>
      <c r="D469" s="7" t="n"/>
      <c r="E469" s="15" t="n"/>
      <c r="F469" s="15" t="n"/>
      <c r="G469" s="15" t="n"/>
      <c r="H469" s="16" t="n"/>
      <c r="I469" s="16" t="n"/>
      <c r="J469" s="12">
        <f>IF(OR(E469="",F469=""),"",ROUND((MOD(F469-E469,1)-N(G469))*24,2))</f>
        <v/>
      </c>
      <c r="K469" s="12">
        <f>IF(OR(A469="",B469=""),"",SUMIFS(Paradas!$F$5:$F$1004,Paradas!$A$5:$A$1004,A469,Paradas!$B$5:$B$1004,B469))</f>
        <v/>
      </c>
      <c r="L469" s="12">
        <f>IF(J469="","",J469-N(K469))</f>
        <v/>
      </c>
      <c r="M469" s="13">
        <f>IF(OR(A469="",B469=""),"",COUNTIFS(Paradas!$A$5:$A$1004,A469,Paradas!$B$5:$B$1004,B469))</f>
        <v/>
      </c>
      <c r="N469" s="12">
        <f>IF(OR(H469="",I469=""),"",I469-H469)</f>
        <v/>
      </c>
      <c r="O469" s="7" t="n"/>
    </row>
    <row r="470">
      <c r="A470" s="14" t="n"/>
      <c r="B470" s="7" t="n"/>
      <c r="C470" s="7" t="n"/>
      <c r="D470" s="7" t="n"/>
      <c r="E470" s="15" t="n"/>
      <c r="F470" s="15" t="n"/>
      <c r="G470" s="15" t="n"/>
      <c r="H470" s="16" t="n"/>
      <c r="I470" s="16" t="n"/>
      <c r="J470" s="12">
        <f>IF(OR(E470="",F470=""),"",ROUND((MOD(F470-E470,1)-N(G470))*24,2))</f>
        <v/>
      </c>
      <c r="K470" s="12">
        <f>IF(OR(A470="",B470=""),"",SUMIFS(Paradas!$F$5:$F$1004,Paradas!$A$5:$A$1004,A470,Paradas!$B$5:$B$1004,B470))</f>
        <v/>
      </c>
      <c r="L470" s="12">
        <f>IF(J470="","",J470-N(K470))</f>
        <v/>
      </c>
      <c r="M470" s="13">
        <f>IF(OR(A470="",B470=""),"",COUNTIFS(Paradas!$A$5:$A$1004,A470,Paradas!$B$5:$B$1004,B470))</f>
        <v/>
      </c>
      <c r="N470" s="12">
        <f>IF(OR(H470="",I470=""),"",I470-H470)</f>
        <v/>
      </c>
      <c r="O470" s="7" t="n"/>
    </row>
    <row r="471">
      <c r="A471" s="14" t="n"/>
      <c r="B471" s="7" t="n"/>
      <c r="C471" s="7" t="n"/>
      <c r="D471" s="7" t="n"/>
      <c r="E471" s="15" t="n"/>
      <c r="F471" s="15" t="n"/>
      <c r="G471" s="15" t="n"/>
      <c r="H471" s="16" t="n"/>
      <c r="I471" s="16" t="n"/>
      <c r="J471" s="12">
        <f>IF(OR(E471="",F471=""),"",ROUND((MOD(F471-E471,1)-N(G471))*24,2))</f>
        <v/>
      </c>
      <c r="K471" s="12">
        <f>IF(OR(A471="",B471=""),"",SUMIFS(Paradas!$F$5:$F$1004,Paradas!$A$5:$A$1004,A471,Paradas!$B$5:$B$1004,B471))</f>
        <v/>
      </c>
      <c r="L471" s="12">
        <f>IF(J471="","",J471-N(K471))</f>
        <v/>
      </c>
      <c r="M471" s="13">
        <f>IF(OR(A471="",B471=""),"",COUNTIFS(Paradas!$A$5:$A$1004,A471,Paradas!$B$5:$B$1004,B471))</f>
        <v/>
      </c>
      <c r="N471" s="12">
        <f>IF(OR(H471="",I471=""),"",I471-H471)</f>
        <v/>
      </c>
      <c r="O471" s="7" t="n"/>
    </row>
    <row r="472">
      <c r="A472" s="14" t="n"/>
      <c r="B472" s="7" t="n"/>
      <c r="C472" s="7" t="n"/>
      <c r="D472" s="7" t="n"/>
      <c r="E472" s="15" t="n"/>
      <c r="F472" s="15" t="n"/>
      <c r="G472" s="15" t="n"/>
      <c r="H472" s="16" t="n"/>
      <c r="I472" s="16" t="n"/>
      <c r="J472" s="12">
        <f>IF(OR(E472="",F472=""),"",ROUND((MOD(F472-E472,1)-N(G472))*24,2))</f>
        <v/>
      </c>
      <c r="K472" s="12">
        <f>IF(OR(A472="",B472=""),"",SUMIFS(Paradas!$F$5:$F$1004,Paradas!$A$5:$A$1004,A472,Paradas!$B$5:$B$1004,B472))</f>
        <v/>
      </c>
      <c r="L472" s="12">
        <f>IF(J472="","",J472-N(K472))</f>
        <v/>
      </c>
      <c r="M472" s="13">
        <f>IF(OR(A472="",B472=""),"",COUNTIFS(Paradas!$A$5:$A$1004,A472,Paradas!$B$5:$B$1004,B472))</f>
        <v/>
      </c>
      <c r="N472" s="12">
        <f>IF(OR(H472="",I472=""),"",I472-H472)</f>
        <v/>
      </c>
      <c r="O472" s="7" t="n"/>
    </row>
    <row r="473">
      <c r="A473" s="14" t="n"/>
      <c r="B473" s="7" t="n"/>
      <c r="C473" s="7" t="n"/>
      <c r="D473" s="7" t="n"/>
      <c r="E473" s="15" t="n"/>
      <c r="F473" s="15" t="n"/>
      <c r="G473" s="15" t="n"/>
      <c r="H473" s="16" t="n"/>
      <c r="I473" s="16" t="n"/>
      <c r="J473" s="12">
        <f>IF(OR(E473="",F473=""),"",ROUND((MOD(F473-E473,1)-N(G473))*24,2))</f>
        <v/>
      </c>
      <c r="K473" s="12">
        <f>IF(OR(A473="",B473=""),"",SUMIFS(Paradas!$F$5:$F$1004,Paradas!$A$5:$A$1004,A473,Paradas!$B$5:$B$1004,B473))</f>
        <v/>
      </c>
      <c r="L473" s="12">
        <f>IF(J473="","",J473-N(K473))</f>
        <v/>
      </c>
      <c r="M473" s="13">
        <f>IF(OR(A473="",B473=""),"",COUNTIFS(Paradas!$A$5:$A$1004,A473,Paradas!$B$5:$B$1004,B473))</f>
        <v/>
      </c>
      <c r="N473" s="12">
        <f>IF(OR(H473="",I473=""),"",I473-H473)</f>
        <v/>
      </c>
      <c r="O473" s="7" t="n"/>
    </row>
    <row r="474">
      <c r="A474" s="14" t="n"/>
      <c r="B474" s="7" t="n"/>
      <c r="C474" s="7" t="n"/>
      <c r="D474" s="7" t="n"/>
      <c r="E474" s="15" t="n"/>
      <c r="F474" s="15" t="n"/>
      <c r="G474" s="15" t="n"/>
      <c r="H474" s="16" t="n"/>
      <c r="I474" s="16" t="n"/>
      <c r="J474" s="12">
        <f>IF(OR(E474="",F474=""),"",ROUND((MOD(F474-E474,1)-N(G474))*24,2))</f>
        <v/>
      </c>
      <c r="K474" s="12">
        <f>IF(OR(A474="",B474=""),"",SUMIFS(Paradas!$F$5:$F$1004,Paradas!$A$5:$A$1004,A474,Paradas!$B$5:$B$1004,B474))</f>
        <v/>
      </c>
      <c r="L474" s="12">
        <f>IF(J474="","",J474-N(K474))</f>
        <v/>
      </c>
      <c r="M474" s="13">
        <f>IF(OR(A474="",B474=""),"",COUNTIFS(Paradas!$A$5:$A$1004,A474,Paradas!$B$5:$B$1004,B474))</f>
        <v/>
      </c>
      <c r="N474" s="12">
        <f>IF(OR(H474="",I474=""),"",I474-H474)</f>
        <v/>
      </c>
      <c r="O474" s="7" t="n"/>
    </row>
    <row r="475">
      <c r="A475" s="14" t="n"/>
      <c r="B475" s="7" t="n"/>
      <c r="C475" s="7" t="n"/>
      <c r="D475" s="7" t="n"/>
      <c r="E475" s="15" t="n"/>
      <c r="F475" s="15" t="n"/>
      <c r="G475" s="15" t="n"/>
      <c r="H475" s="16" t="n"/>
      <c r="I475" s="16" t="n"/>
      <c r="J475" s="12">
        <f>IF(OR(E475="",F475=""),"",ROUND((MOD(F475-E475,1)-N(G475))*24,2))</f>
        <v/>
      </c>
      <c r="K475" s="12">
        <f>IF(OR(A475="",B475=""),"",SUMIFS(Paradas!$F$5:$F$1004,Paradas!$A$5:$A$1004,A475,Paradas!$B$5:$B$1004,B475))</f>
        <v/>
      </c>
      <c r="L475" s="12">
        <f>IF(J475="","",J475-N(K475))</f>
        <v/>
      </c>
      <c r="M475" s="13">
        <f>IF(OR(A475="",B475=""),"",COUNTIFS(Paradas!$A$5:$A$1004,A475,Paradas!$B$5:$B$1004,B475))</f>
        <v/>
      </c>
      <c r="N475" s="12">
        <f>IF(OR(H475="",I475=""),"",I475-H475)</f>
        <v/>
      </c>
      <c r="O475" s="7" t="n"/>
    </row>
    <row r="476">
      <c r="A476" s="14" t="n"/>
      <c r="B476" s="7" t="n"/>
      <c r="C476" s="7" t="n"/>
      <c r="D476" s="7" t="n"/>
      <c r="E476" s="15" t="n"/>
      <c r="F476" s="15" t="n"/>
      <c r="G476" s="15" t="n"/>
      <c r="H476" s="16" t="n"/>
      <c r="I476" s="16" t="n"/>
      <c r="J476" s="12">
        <f>IF(OR(E476="",F476=""),"",ROUND((MOD(F476-E476,1)-N(G476))*24,2))</f>
        <v/>
      </c>
      <c r="K476" s="12">
        <f>IF(OR(A476="",B476=""),"",SUMIFS(Paradas!$F$5:$F$1004,Paradas!$A$5:$A$1004,A476,Paradas!$B$5:$B$1004,B476))</f>
        <v/>
      </c>
      <c r="L476" s="12">
        <f>IF(J476="","",J476-N(K476))</f>
        <v/>
      </c>
      <c r="M476" s="13">
        <f>IF(OR(A476="",B476=""),"",COUNTIFS(Paradas!$A$5:$A$1004,A476,Paradas!$B$5:$B$1004,B476))</f>
        <v/>
      </c>
      <c r="N476" s="12">
        <f>IF(OR(H476="",I476=""),"",I476-H476)</f>
        <v/>
      </c>
      <c r="O476" s="7" t="n"/>
    </row>
    <row r="477">
      <c r="A477" s="14" t="n"/>
      <c r="B477" s="7" t="n"/>
      <c r="C477" s="7" t="n"/>
      <c r="D477" s="7" t="n"/>
      <c r="E477" s="15" t="n"/>
      <c r="F477" s="15" t="n"/>
      <c r="G477" s="15" t="n"/>
      <c r="H477" s="16" t="n"/>
      <c r="I477" s="16" t="n"/>
      <c r="J477" s="12">
        <f>IF(OR(E477="",F477=""),"",ROUND((MOD(F477-E477,1)-N(G477))*24,2))</f>
        <v/>
      </c>
      <c r="K477" s="12">
        <f>IF(OR(A477="",B477=""),"",SUMIFS(Paradas!$F$5:$F$1004,Paradas!$A$5:$A$1004,A477,Paradas!$B$5:$B$1004,B477))</f>
        <v/>
      </c>
      <c r="L477" s="12">
        <f>IF(J477="","",J477-N(K477))</f>
        <v/>
      </c>
      <c r="M477" s="13">
        <f>IF(OR(A477="",B477=""),"",COUNTIFS(Paradas!$A$5:$A$1004,A477,Paradas!$B$5:$B$1004,B477))</f>
        <v/>
      </c>
      <c r="N477" s="12">
        <f>IF(OR(H477="",I477=""),"",I477-H477)</f>
        <v/>
      </c>
      <c r="O477" s="7" t="n"/>
    </row>
    <row r="478">
      <c r="A478" s="14" t="n"/>
      <c r="B478" s="7" t="n"/>
      <c r="C478" s="7" t="n"/>
      <c r="D478" s="7" t="n"/>
      <c r="E478" s="15" t="n"/>
      <c r="F478" s="15" t="n"/>
      <c r="G478" s="15" t="n"/>
      <c r="H478" s="16" t="n"/>
      <c r="I478" s="16" t="n"/>
      <c r="J478" s="12">
        <f>IF(OR(E478="",F478=""),"",ROUND((MOD(F478-E478,1)-N(G478))*24,2))</f>
        <v/>
      </c>
      <c r="K478" s="12">
        <f>IF(OR(A478="",B478=""),"",SUMIFS(Paradas!$F$5:$F$1004,Paradas!$A$5:$A$1004,A478,Paradas!$B$5:$B$1004,B478))</f>
        <v/>
      </c>
      <c r="L478" s="12">
        <f>IF(J478="","",J478-N(K478))</f>
        <v/>
      </c>
      <c r="M478" s="13">
        <f>IF(OR(A478="",B478=""),"",COUNTIFS(Paradas!$A$5:$A$1004,A478,Paradas!$B$5:$B$1004,B478))</f>
        <v/>
      </c>
      <c r="N478" s="12">
        <f>IF(OR(H478="",I478=""),"",I478-H478)</f>
        <v/>
      </c>
      <c r="O478" s="7" t="n"/>
    </row>
    <row r="479">
      <c r="A479" s="14" t="n"/>
      <c r="B479" s="7" t="n"/>
      <c r="C479" s="7" t="n"/>
      <c r="D479" s="7" t="n"/>
      <c r="E479" s="15" t="n"/>
      <c r="F479" s="15" t="n"/>
      <c r="G479" s="15" t="n"/>
      <c r="H479" s="16" t="n"/>
      <c r="I479" s="16" t="n"/>
      <c r="J479" s="12">
        <f>IF(OR(E479="",F479=""),"",ROUND((MOD(F479-E479,1)-N(G479))*24,2))</f>
        <v/>
      </c>
      <c r="K479" s="12">
        <f>IF(OR(A479="",B479=""),"",SUMIFS(Paradas!$F$5:$F$1004,Paradas!$A$5:$A$1004,A479,Paradas!$B$5:$B$1004,B479))</f>
        <v/>
      </c>
      <c r="L479" s="12">
        <f>IF(J479="","",J479-N(K479))</f>
        <v/>
      </c>
      <c r="M479" s="13">
        <f>IF(OR(A479="",B479=""),"",COUNTIFS(Paradas!$A$5:$A$1004,A479,Paradas!$B$5:$B$1004,B479))</f>
        <v/>
      </c>
      <c r="N479" s="12">
        <f>IF(OR(H479="",I479=""),"",I479-H479)</f>
        <v/>
      </c>
      <c r="O479" s="7" t="n"/>
    </row>
    <row r="480">
      <c r="A480" s="14" t="n"/>
      <c r="B480" s="7" t="n"/>
      <c r="C480" s="7" t="n"/>
      <c r="D480" s="7" t="n"/>
      <c r="E480" s="15" t="n"/>
      <c r="F480" s="15" t="n"/>
      <c r="G480" s="15" t="n"/>
      <c r="H480" s="16" t="n"/>
      <c r="I480" s="16" t="n"/>
      <c r="J480" s="12">
        <f>IF(OR(E480="",F480=""),"",ROUND((MOD(F480-E480,1)-N(G480))*24,2))</f>
        <v/>
      </c>
      <c r="K480" s="12">
        <f>IF(OR(A480="",B480=""),"",SUMIFS(Paradas!$F$5:$F$1004,Paradas!$A$5:$A$1004,A480,Paradas!$B$5:$B$1004,B480))</f>
        <v/>
      </c>
      <c r="L480" s="12">
        <f>IF(J480="","",J480-N(K480))</f>
        <v/>
      </c>
      <c r="M480" s="13">
        <f>IF(OR(A480="",B480=""),"",COUNTIFS(Paradas!$A$5:$A$1004,A480,Paradas!$B$5:$B$1004,B480))</f>
        <v/>
      </c>
      <c r="N480" s="12">
        <f>IF(OR(H480="",I480=""),"",I480-H480)</f>
        <v/>
      </c>
      <c r="O480" s="7" t="n"/>
    </row>
    <row r="481">
      <c r="A481" s="14" t="n"/>
      <c r="B481" s="7" t="n"/>
      <c r="C481" s="7" t="n"/>
      <c r="D481" s="7" t="n"/>
      <c r="E481" s="15" t="n"/>
      <c r="F481" s="15" t="n"/>
      <c r="G481" s="15" t="n"/>
      <c r="H481" s="16" t="n"/>
      <c r="I481" s="16" t="n"/>
      <c r="J481" s="12">
        <f>IF(OR(E481="",F481=""),"",ROUND((MOD(F481-E481,1)-N(G481))*24,2))</f>
        <v/>
      </c>
      <c r="K481" s="12">
        <f>IF(OR(A481="",B481=""),"",SUMIFS(Paradas!$F$5:$F$1004,Paradas!$A$5:$A$1004,A481,Paradas!$B$5:$B$1004,B481))</f>
        <v/>
      </c>
      <c r="L481" s="12">
        <f>IF(J481="","",J481-N(K481))</f>
        <v/>
      </c>
      <c r="M481" s="13">
        <f>IF(OR(A481="",B481=""),"",COUNTIFS(Paradas!$A$5:$A$1004,A481,Paradas!$B$5:$B$1004,B481))</f>
        <v/>
      </c>
      <c r="N481" s="12">
        <f>IF(OR(H481="",I481=""),"",I481-H481)</f>
        <v/>
      </c>
      <c r="O481" s="7" t="n"/>
    </row>
    <row r="482">
      <c r="A482" s="14" t="n"/>
      <c r="B482" s="7" t="n"/>
      <c r="C482" s="7" t="n"/>
      <c r="D482" s="7" t="n"/>
      <c r="E482" s="15" t="n"/>
      <c r="F482" s="15" t="n"/>
      <c r="G482" s="15" t="n"/>
      <c r="H482" s="16" t="n"/>
      <c r="I482" s="16" t="n"/>
      <c r="J482" s="12">
        <f>IF(OR(E482="",F482=""),"",ROUND((MOD(F482-E482,1)-N(G482))*24,2))</f>
        <v/>
      </c>
      <c r="K482" s="12">
        <f>IF(OR(A482="",B482=""),"",SUMIFS(Paradas!$F$5:$F$1004,Paradas!$A$5:$A$1004,A482,Paradas!$B$5:$B$1004,B482))</f>
        <v/>
      </c>
      <c r="L482" s="12">
        <f>IF(J482="","",J482-N(K482))</f>
        <v/>
      </c>
      <c r="M482" s="13">
        <f>IF(OR(A482="",B482=""),"",COUNTIFS(Paradas!$A$5:$A$1004,A482,Paradas!$B$5:$B$1004,B482))</f>
        <v/>
      </c>
      <c r="N482" s="12">
        <f>IF(OR(H482="",I482=""),"",I482-H482)</f>
        <v/>
      </c>
      <c r="O482" s="7" t="n"/>
    </row>
    <row r="483">
      <c r="A483" s="14" t="n"/>
      <c r="B483" s="7" t="n"/>
      <c r="C483" s="7" t="n"/>
      <c r="D483" s="7" t="n"/>
      <c r="E483" s="15" t="n"/>
      <c r="F483" s="15" t="n"/>
      <c r="G483" s="15" t="n"/>
      <c r="H483" s="16" t="n"/>
      <c r="I483" s="16" t="n"/>
      <c r="J483" s="12">
        <f>IF(OR(E483="",F483=""),"",ROUND((MOD(F483-E483,1)-N(G483))*24,2))</f>
        <v/>
      </c>
      <c r="K483" s="12">
        <f>IF(OR(A483="",B483=""),"",SUMIFS(Paradas!$F$5:$F$1004,Paradas!$A$5:$A$1004,A483,Paradas!$B$5:$B$1004,B483))</f>
        <v/>
      </c>
      <c r="L483" s="12">
        <f>IF(J483="","",J483-N(K483))</f>
        <v/>
      </c>
      <c r="M483" s="13">
        <f>IF(OR(A483="",B483=""),"",COUNTIFS(Paradas!$A$5:$A$1004,A483,Paradas!$B$5:$B$1004,B483))</f>
        <v/>
      </c>
      <c r="N483" s="12">
        <f>IF(OR(H483="",I483=""),"",I483-H483)</f>
        <v/>
      </c>
      <c r="O483" s="7" t="n"/>
    </row>
    <row r="484">
      <c r="A484" s="14" t="n"/>
      <c r="B484" s="7" t="n"/>
      <c r="C484" s="7" t="n"/>
      <c r="D484" s="7" t="n"/>
      <c r="E484" s="15" t="n"/>
      <c r="F484" s="15" t="n"/>
      <c r="G484" s="15" t="n"/>
      <c r="H484" s="16" t="n"/>
      <c r="I484" s="16" t="n"/>
      <c r="J484" s="12">
        <f>IF(OR(E484="",F484=""),"",ROUND((MOD(F484-E484,1)-N(G484))*24,2))</f>
        <v/>
      </c>
      <c r="K484" s="12">
        <f>IF(OR(A484="",B484=""),"",SUMIFS(Paradas!$F$5:$F$1004,Paradas!$A$5:$A$1004,A484,Paradas!$B$5:$B$1004,B484))</f>
        <v/>
      </c>
      <c r="L484" s="12">
        <f>IF(J484="","",J484-N(K484))</f>
        <v/>
      </c>
      <c r="M484" s="13">
        <f>IF(OR(A484="",B484=""),"",COUNTIFS(Paradas!$A$5:$A$1004,A484,Paradas!$B$5:$B$1004,B484))</f>
        <v/>
      </c>
      <c r="N484" s="12">
        <f>IF(OR(H484="",I484=""),"",I484-H484)</f>
        <v/>
      </c>
      <c r="O484" s="7" t="n"/>
    </row>
    <row r="485">
      <c r="A485" s="14" t="n"/>
      <c r="B485" s="7" t="n"/>
      <c r="C485" s="7" t="n"/>
      <c r="D485" s="7" t="n"/>
      <c r="E485" s="15" t="n"/>
      <c r="F485" s="15" t="n"/>
      <c r="G485" s="15" t="n"/>
      <c r="H485" s="16" t="n"/>
      <c r="I485" s="16" t="n"/>
      <c r="J485" s="12">
        <f>IF(OR(E485="",F485=""),"",ROUND((MOD(F485-E485,1)-N(G485))*24,2))</f>
        <v/>
      </c>
      <c r="K485" s="12">
        <f>IF(OR(A485="",B485=""),"",SUMIFS(Paradas!$F$5:$F$1004,Paradas!$A$5:$A$1004,A485,Paradas!$B$5:$B$1004,B485))</f>
        <v/>
      </c>
      <c r="L485" s="12">
        <f>IF(J485="","",J485-N(K485))</f>
        <v/>
      </c>
      <c r="M485" s="13">
        <f>IF(OR(A485="",B485=""),"",COUNTIFS(Paradas!$A$5:$A$1004,A485,Paradas!$B$5:$B$1004,B485))</f>
        <v/>
      </c>
      <c r="N485" s="12">
        <f>IF(OR(H485="",I485=""),"",I485-H485)</f>
        <v/>
      </c>
      <c r="O485" s="7" t="n"/>
    </row>
    <row r="486">
      <c r="A486" s="14" t="n"/>
      <c r="B486" s="7" t="n"/>
      <c r="C486" s="7" t="n"/>
      <c r="D486" s="7" t="n"/>
      <c r="E486" s="15" t="n"/>
      <c r="F486" s="15" t="n"/>
      <c r="G486" s="15" t="n"/>
      <c r="H486" s="16" t="n"/>
      <c r="I486" s="16" t="n"/>
      <c r="J486" s="12">
        <f>IF(OR(E486="",F486=""),"",ROUND((MOD(F486-E486,1)-N(G486))*24,2))</f>
        <v/>
      </c>
      <c r="K486" s="12">
        <f>IF(OR(A486="",B486=""),"",SUMIFS(Paradas!$F$5:$F$1004,Paradas!$A$5:$A$1004,A486,Paradas!$B$5:$B$1004,B486))</f>
        <v/>
      </c>
      <c r="L486" s="12">
        <f>IF(J486="","",J486-N(K486))</f>
        <v/>
      </c>
      <c r="M486" s="13">
        <f>IF(OR(A486="",B486=""),"",COUNTIFS(Paradas!$A$5:$A$1004,A486,Paradas!$B$5:$B$1004,B486))</f>
        <v/>
      </c>
      <c r="N486" s="12">
        <f>IF(OR(H486="",I486=""),"",I486-H486)</f>
        <v/>
      </c>
      <c r="O486" s="7" t="n"/>
    </row>
    <row r="487">
      <c r="A487" s="14" t="n"/>
      <c r="B487" s="7" t="n"/>
      <c r="C487" s="7" t="n"/>
      <c r="D487" s="7" t="n"/>
      <c r="E487" s="15" t="n"/>
      <c r="F487" s="15" t="n"/>
      <c r="G487" s="15" t="n"/>
      <c r="H487" s="16" t="n"/>
      <c r="I487" s="16" t="n"/>
      <c r="J487" s="12">
        <f>IF(OR(E487="",F487=""),"",ROUND((MOD(F487-E487,1)-N(G487))*24,2))</f>
        <v/>
      </c>
      <c r="K487" s="12">
        <f>IF(OR(A487="",B487=""),"",SUMIFS(Paradas!$F$5:$F$1004,Paradas!$A$5:$A$1004,A487,Paradas!$B$5:$B$1004,B487))</f>
        <v/>
      </c>
      <c r="L487" s="12">
        <f>IF(J487="","",J487-N(K487))</f>
        <v/>
      </c>
      <c r="M487" s="13">
        <f>IF(OR(A487="",B487=""),"",COUNTIFS(Paradas!$A$5:$A$1004,A487,Paradas!$B$5:$B$1004,B487))</f>
        <v/>
      </c>
      <c r="N487" s="12">
        <f>IF(OR(H487="",I487=""),"",I487-H487)</f>
        <v/>
      </c>
      <c r="O487" s="7" t="n"/>
    </row>
    <row r="488">
      <c r="A488" s="14" t="n"/>
      <c r="B488" s="7" t="n"/>
      <c r="C488" s="7" t="n"/>
      <c r="D488" s="7" t="n"/>
      <c r="E488" s="15" t="n"/>
      <c r="F488" s="15" t="n"/>
      <c r="G488" s="15" t="n"/>
      <c r="H488" s="16" t="n"/>
      <c r="I488" s="16" t="n"/>
      <c r="J488" s="12">
        <f>IF(OR(E488="",F488=""),"",ROUND((MOD(F488-E488,1)-N(G488))*24,2))</f>
        <v/>
      </c>
      <c r="K488" s="12">
        <f>IF(OR(A488="",B488=""),"",SUMIFS(Paradas!$F$5:$F$1004,Paradas!$A$5:$A$1004,A488,Paradas!$B$5:$B$1004,B488))</f>
        <v/>
      </c>
      <c r="L488" s="12">
        <f>IF(J488="","",J488-N(K488))</f>
        <v/>
      </c>
      <c r="M488" s="13">
        <f>IF(OR(A488="",B488=""),"",COUNTIFS(Paradas!$A$5:$A$1004,A488,Paradas!$B$5:$B$1004,B488))</f>
        <v/>
      </c>
      <c r="N488" s="12">
        <f>IF(OR(H488="",I488=""),"",I488-H488)</f>
        <v/>
      </c>
      <c r="O488" s="7" t="n"/>
    </row>
    <row r="489">
      <c r="A489" s="14" t="n"/>
      <c r="B489" s="7" t="n"/>
      <c r="C489" s="7" t="n"/>
      <c r="D489" s="7" t="n"/>
      <c r="E489" s="15" t="n"/>
      <c r="F489" s="15" t="n"/>
      <c r="G489" s="15" t="n"/>
      <c r="H489" s="16" t="n"/>
      <c r="I489" s="16" t="n"/>
      <c r="J489" s="12">
        <f>IF(OR(E489="",F489=""),"",ROUND((MOD(F489-E489,1)-N(G489))*24,2))</f>
        <v/>
      </c>
      <c r="K489" s="12">
        <f>IF(OR(A489="",B489=""),"",SUMIFS(Paradas!$F$5:$F$1004,Paradas!$A$5:$A$1004,A489,Paradas!$B$5:$B$1004,B489))</f>
        <v/>
      </c>
      <c r="L489" s="12">
        <f>IF(J489="","",J489-N(K489))</f>
        <v/>
      </c>
      <c r="M489" s="13">
        <f>IF(OR(A489="",B489=""),"",COUNTIFS(Paradas!$A$5:$A$1004,A489,Paradas!$B$5:$B$1004,B489))</f>
        <v/>
      </c>
      <c r="N489" s="12">
        <f>IF(OR(H489="",I489=""),"",I489-H489)</f>
        <v/>
      </c>
      <c r="O489" s="7" t="n"/>
    </row>
    <row r="490">
      <c r="A490" s="14" t="n"/>
      <c r="B490" s="7" t="n"/>
      <c r="C490" s="7" t="n"/>
      <c r="D490" s="7" t="n"/>
      <c r="E490" s="15" t="n"/>
      <c r="F490" s="15" t="n"/>
      <c r="G490" s="15" t="n"/>
      <c r="H490" s="16" t="n"/>
      <c r="I490" s="16" t="n"/>
      <c r="J490" s="12">
        <f>IF(OR(E490="",F490=""),"",ROUND((MOD(F490-E490,1)-N(G490))*24,2))</f>
        <v/>
      </c>
      <c r="K490" s="12">
        <f>IF(OR(A490="",B490=""),"",SUMIFS(Paradas!$F$5:$F$1004,Paradas!$A$5:$A$1004,A490,Paradas!$B$5:$B$1004,B490))</f>
        <v/>
      </c>
      <c r="L490" s="12">
        <f>IF(J490="","",J490-N(K490))</f>
        <v/>
      </c>
      <c r="M490" s="13">
        <f>IF(OR(A490="",B490=""),"",COUNTIFS(Paradas!$A$5:$A$1004,A490,Paradas!$B$5:$B$1004,B490))</f>
        <v/>
      </c>
      <c r="N490" s="12">
        <f>IF(OR(H490="",I490=""),"",I490-H490)</f>
        <v/>
      </c>
      <c r="O490" s="7" t="n"/>
    </row>
    <row r="491">
      <c r="A491" s="14" t="n"/>
      <c r="B491" s="7" t="n"/>
      <c r="C491" s="7" t="n"/>
      <c r="D491" s="7" t="n"/>
      <c r="E491" s="15" t="n"/>
      <c r="F491" s="15" t="n"/>
      <c r="G491" s="15" t="n"/>
      <c r="H491" s="16" t="n"/>
      <c r="I491" s="16" t="n"/>
      <c r="J491" s="12">
        <f>IF(OR(E491="",F491=""),"",ROUND((MOD(F491-E491,1)-N(G491))*24,2))</f>
        <v/>
      </c>
      <c r="K491" s="12">
        <f>IF(OR(A491="",B491=""),"",SUMIFS(Paradas!$F$5:$F$1004,Paradas!$A$5:$A$1004,A491,Paradas!$B$5:$B$1004,B491))</f>
        <v/>
      </c>
      <c r="L491" s="12">
        <f>IF(J491="","",J491-N(K491))</f>
        <v/>
      </c>
      <c r="M491" s="13">
        <f>IF(OR(A491="",B491=""),"",COUNTIFS(Paradas!$A$5:$A$1004,A491,Paradas!$B$5:$B$1004,B491))</f>
        <v/>
      </c>
      <c r="N491" s="12">
        <f>IF(OR(H491="",I491=""),"",I491-H491)</f>
        <v/>
      </c>
      <c r="O491" s="7" t="n"/>
    </row>
    <row r="492">
      <c r="A492" s="14" t="n"/>
      <c r="B492" s="7" t="n"/>
      <c r="C492" s="7" t="n"/>
      <c r="D492" s="7" t="n"/>
      <c r="E492" s="15" t="n"/>
      <c r="F492" s="15" t="n"/>
      <c r="G492" s="15" t="n"/>
      <c r="H492" s="16" t="n"/>
      <c r="I492" s="16" t="n"/>
      <c r="J492" s="12">
        <f>IF(OR(E492="",F492=""),"",ROUND((MOD(F492-E492,1)-N(G492))*24,2))</f>
        <v/>
      </c>
      <c r="K492" s="12">
        <f>IF(OR(A492="",B492=""),"",SUMIFS(Paradas!$F$5:$F$1004,Paradas!$A$5:$A$1004,A492,Paradas!$B$5:$B$1004,B492))</f>
        <v/>
      </c>
      <c r="L492" s="12">
        <f>IF(J492="","",J492-N(K492))</f>
        <v/>
      </c>
      <c r="M492" s="13">
        <f>IF(OR(A492="",B492=""),"",COUNTIFS(Paradas!$A$5:$A$1004,A492,Paradas!$B$5:$B$1004,B492))</f>
        <v/>
      </c>
      <c r="N492" s="12">
        <f>IF(OR(H492="",I492=""),"",I492-H492)</f>
        <v/>
      </c>
      <c r="O492" s="7" t="n"/>
    </row>
    <row r="493">
      <c r="A493" s="14" t="n"/>
      <c r="B493" s="7" t="n"/>
      <c r="C493" s="7" t="n"/>
      <c r="D493" s="7" t="n"/>
      <c r="E493" s="15" t="n"/>
      <c r="F493" s="15" t="n"/>
      <c r="G493" s="15" t="n"/>
      <c r="H493" s="16" t="n"/>
      <c r="I493" s="16" t="n"/>
      <c r="J493" s="12">
        <f>IF(OR(E493="",F493=""),"",ROUND((MOD(F493-E493,1)-N(G493))*24,2))</f>
        <v/>
      </c>
      <c r="K493" s="12">
        <f>IF(OR(A493="",B493=""),"",SUMIFS(Paradas!$F$5:$F$1004,Paradas!$A$5:$A$1004,A493,Paradas!$B$5:$B$1004,B493))</f>
        <v/>
      </c>
      <c r="L493" s="12">
        <f>IF(J493="","",J493-N(K493))</f>
        <v/>
      </c>
      <c r="M493" s="13">
        <f>IF(OR(A493="",B493=""),"",COUNTIFS(Paradas!$A$5:$A$1004,A493,Paradas!$B$5:$B$1004,B493))</f>
        <v/>
      </c>
      <c r="N493" s="12">
        <f>IF(OR(H493="",I493=""),"",I493-H493)</f>
        <v/>
      </c>
      <c r="O493" s="7" t="n"/>
    </row>
    <row r="494">
      <c r="A494" s="14" t="n"/>
      <c r="B494" s="7" t="n"/>
      <c r="C494" s="7" t="n"/>
      <c r="D494" s="7" t="n"/>
      <c r="E494" s="15" t="n"/>
      <c r="F494" s="15" t="n"/>
      <c r="G494" s="15" t="n"/>
      <c r="H494" s="16" t="n"/>
      <c r="I494" s="16" t="n"/>
      <c r="J494" s="12">
        <f>IF(OR(E494="",F494=""),"",ROUND((MOD(F494-E494,1)-N(G494))*24,2))</f>
        <v/>
      </c>
      <c r="K494" s="12">
        <f>IF(OR(A494="",B494=""),"",SUMIFS(Paradas!$F$5:$F$1004,Paradas!$A$5:$A$1004,A494,Paradas!$B$5:$B$1004,B494))</f>
        <v/>
      </c>
      <c r="L494" s="12">
        <f>IF(J494="","",J494-N(K494))</f>
        <v/>
      </c>
      <c r="M494" s="13">
        <f>IF(OR(A494="",B494=""),"",COUNTIFS(Paradas!$A$5:$A$1004,A494,Paradas!$B$5:$B$1004,B494))</f>
        <v/>
      </c>
      <c r="N494" s="12">
        <f>IF(OR(H494="",I494=""),"",I494-H494)</f>
        <v/>
      </c>
      <c r="O494" s="7" t="n"/>
    </row>
    <row r="495">
      <c r="A495" s="14" t="n"/>
      <c r="B495" s="7" t="n"/>
      <c r="C495" s="7" t="n"/>
      <c r="D495" s="7" t="n"/>
      <c r="E495" s="15" t="n"/>
      <c r="F495" s="15" t="n"/>
      <c r="G495" s="15" t="n"/>
      <c r="H495" s="16" t="n"/>
      <c r="I495" s="16" t="n"/>
      <c r="J495" s="12">
        <f>IF(OR(E495="",F495=""),"",ROUND((MOD(F495-E495,1)-N(G495))*24,2))</f>
        <v/>
      </c>
      <c r="K495" s="12">
        <f>IF(OR(A495="",B495=""),"",SUMIFS(Paradas!$F$5:$F$1004,Paradas!$A$5:$A$1004,A495,Paradas!$B$5:$B$1004,B495))</f>
        <v/>
      </c>
      <c r="L495" s="12">
        <f>IF(J495="","",J495-N(K495))</f>
        <v/>
      </c>
      <c r="M495" s="13">
        <f>IF(OR(A495="",B495=""),"",COUNTIFS(Paradas!$A$5:$A$1004,A495,Paradas!$B$5:$B$1004,B495))</f>
        <v/>
      </c>
      <c r="N495" s="12">
        <f>IF(OR(H495="",I495=""),"",I495-H495)</f>
        <v/>
      </c>
      <c r="O495" s="7" t="n"/>
    </row>
    <row r="496">
      <c r="A496" s="14" t="n"/>
      <c r="B496" s="7" t="n"/>
      <c r="C496" s="7" t="n"/>
      <c r="D496" s="7" t="n"/>
      <c r="E496" s="15" t="n"/>
      <c r="F496" s="15" t="n"/>
      <c r="G496" s="15" t="n"/>
      <c r="H496" s="16" t="n"/>
      <c r="I496" s="16" t="n"/>
      <c r="J496" s="12">
        <f>IF(OR(E496="",F496=""),"",ROUND((MOD(F496-E496,1)-N(G496))*24,2))</f>
        <v/>
      </c>
      <c r="K496" s="12">
        <f>IF(OR(A496="",B496=""),"",SUMIFS(Paradas!$F$5:$F$1004,Paradas!$A$5:$A$1004,A496,Paradas!$B$5:$B$1004,B496))</f>
        <v/>
      </c>
      <c r="L496" s="12">
        <f>IF(J496="","",J496-N(K496))</f>
        <v/>
      </c>
      <c r="M496" s="13">
        <f>IF(OR(A496="",B496=""),"",COUNTIFS(Paradas!$A$5:$A$1004,A496,Paradas!$B$5:$B$1004,B496))</f>
        <v/>
      </c>
      <c r="N496" s="12">
        <f>IF(OR(H496="",I496=""),"",I496-H496)</f>
        <v/>
      </c>
      <c r="O496" s="7" t="n"/>
    </row>
    <row r="497">
      <c r="A497" s="14" t="n"/>
      <c r="B497" s="7" t="n"/>
      <c r="C497" s="7" t="n"/>
      <c r="D497" s="7" t="n"/>
      <c r="E497" s="15" t="n"/>
      <c r="F497" s="15" t="n"/>
      <c r="G497" s="15" t="n"/>
      <c r="H497" s="16" t="n"/>
      <c r="I497" s="16" t="n"/>
      <c r="J497" s="12">
        <f>IF(OR(E497="",F497=""),"",ROUND((MOD(F497-E497,1)-N(G497))*24,2))</f>
        <v/>
      </c>
      <c r="K497" s="12">
        <f>IF(OR(A497="",B497=""),"",SUMIFS(Paradas!$F$5:$F$1004,Paradas!$A$5:$A$1004,A497,Paradas!$B$5:$B$1004,B497))</f>
        <v/>
      </c>
      <c r="L497" s="12">
        <f>IF(J497="","",J497-N(K497))</f>
        <v/>
      </c>
      <c r="M497" s="13">
        <f>IF(OR(A497="",B497=""),"",COUNTIFS(Paradas!$A$5:$A$1004,A497,Paradas!$B$5:$B$1004,B497))</f>
        <v/>
      </c>
      <c r="N497" s="12">
        <f>IF(OR(H497="",I497=""),"",I497-H497)</f>
        <v/>
      </c>
      <c r="O497" s="7" t="n"/>
    </row>
    <row r="498">
      <c r="A498" s="14" t="n"/>
      <c r="B498" s="7" t="n"/>
      <c r="C498" s="7" t="n"/>
      <c r="D498" s="7" t="n"/>
      <c r="E498" s="15" t="n"/>
      <c r="F498" s="15" t="n"/>
      <c r="G498" s="15" t="n"/>
      <c r="H498" s="16" t="n"/>
      <c r="I498" s="16" t="n"/>
      <c r="J498" s="12">
        <f>IF(OR(E498="",F498=""),"",ROUND((MOD(F498-E498,1)-N(G498))*24,2))</f>
        <v/>
      </c>
      <c r="K498" s="12">
        <f>IF(OR(A498="",B498=""),"",SUMIFS(Paradas!$F$5:$F$1004,Paradas!$A$5:$A$1004,A498,Paradas!$B$5:$B$1004,B498))</f>
        <v/>
      </c>
      <c r="L498" s="12">
        <f>IF(J498="","",J498-N(K498))</f>
        <v/>
      </c>
      <c r="M498" s="13">
        <f>IF(OR(A498="",B498=""),"",COUNTIFS(Paradas!$A$5:$A$1004,A498,Paradas!$B$5:$B$1004,B498))</f>
        <v/>
      </c>
      <c r="N498" s="12">
        <f>IF(OR(H498="",I498=""),"",I498-H498)</f>
        <v/>
      </c>
      <c r="O498" s="7" t="n"/>
    </row>
    <row r="499">
      <c r="A499" s="14" t="n"/>
      <c r="B499" s="7" t="n"/>
      <c r="C499" s="7" t="n"/>
      <c r="D499" s="7" t="n"/>
      <c r="E499" s="15" t="n"/>
      <c r="F499" s="15" t="n"/>
      <c r="G499" s="15" t="n"/>
      <c r="H499" s="16" t="n"/>
      <c r="I499" s="16" t="n"/>
      <c r="J499" s="12">
        <f>IF(OR(E499="",F499=""),"",ROUND((MOD(F499-E499,1)-N(G499))*24,2))</f>
        <v/>
      </c>
      <c r="K499" s="12">
        <f>IF(OR(A499="",B499=""),"",SUMIFS(Paradas!$F$5:$F$1004,Paradas!$A$5:$A$1004,A499,Paradas!$B$5:$B$1004,B499))</f>
        <v/>
      </c>
      <c r="L499" s="12">
        <f>IF(J499="","",J499-N(K499))</f>
        <v/>
      </c>
      <c r="M499" s="13">
        <f>IF(OR(A499="",B499=""),"",COUNTIFS(Paradas!$A$5:$A$1004,A499,Paradas!$B$5:$B$1004,B499))</f>
        <v/>
      </c>
      <c r="N499" s="12">
        <f>IF(OR(H499="",I499=""),"",I499-H499)</f>
        <v/>
      </c>
      <c r="O499" s="7" t="n"/>
    </row>
    <row r="500">
      <c r="A500" s="14" t="n"/>
      <c r="B500" s="7" t="n"/>
      <c r="C500" s="7" t="n"/>
      <c r="D500" s="7" t="n"/>
      <c r="E500" s="15" t="n"/>
      <c r="F500" s="15" t="n"/>
      <c r="G500" s="15" t="n"/>
      <c r="H500" s="16" t="n"/>
      <c r="I500" s="16" t="n"/>
      <c r="J500" s="12">
        <f>IF(OR(E500="",F500=""),"",ROUND((MOD(F500-E500,1)-N(G500))*24,2))</f>
        <v/>
      </c>
      <c r="K500" s="12">
        <f>IF(OR(A500="",B500=""),"",SUMIFS(Paradas!$F$5:$F$1004,Paradas!$A$5:$A$1004,A500,Paradas!$B$5:$B$1004,B500))</f>
        <v/>
      </c>
      <c r="L500" s="12">
        <f>IF(J500="","",J500-N(K500))</f>
        <v/>
      </c>
      <c r="M500" s="13">
        <f>IF(OR(A500="",B500=""),"",COUNTIFS(Paradas!$A$5:$A$1004,A500,Paradas!$B$5:$B$1004,B500))</f>
        <v/>
      </c>
      <c r="N500" s="12">
        <f>IF(OR(H500="",I500=""),"",I500-H500)</f>
        <v/>
      </c>
      <c r="O500" s="7" t="n"/>
    </row>
    <row r="501">
      <c r="A501" s="14" t="n"/>
      <c r="B501" s="7" t="n"/>
      <c r="C501" s="7" t="n"/>
      <c r="D501" s="7" t="n"/>
      <c r="E501" s="15" t="n"/>
      <c r="F501" s="15" t="n"/>
      <c r="G501" s="15" t="n"/>
      <c r="H501" s="16" t="n"/>
      <c r="I501" s="16" t="n"/>
      <c r="J501" s="12">
        <f>IF(OR(E501="",F501=""),"",ROUND((MOD(F501-E501,1)-N(G501))*24,2))</f>
        <v/>
      </c>
      <c r="K501" s="12">
        <f>IF(OR(A501="",B501=""),"",SUMIFS(Paradas!$F$5:$F$1004,Paradas!$A$5:$A$1004,A501,Paradas!$B$5:$B$1004,B501))</f>
        <v/>
      </c>
      <c r="L501" s="12">
        <f>IF(J501="","",J501-N(K501))</f>
        <v/>
      </c>
      <c r="M501" s="13">
        <f>IF(OR(A501="",B501=""),"",COUNTIFS(Paradas!$A$5:$A$1004,A501,Paradas!$B$5:$B$1004,B501))</f>
        <v/>
      </c>
      <c r="N501" s="12">
        <f>IF(OR(H501="",I501=""),"",I501-H501)</f>
        <v/>
      </c>
      <c r="O501" s="7" t="n"/>
    </row>
    <row r="502">
      <c r="A502" s="14" t="n"/>
      <c r="B502" s="7" t="n"/>
      <c r="C502" s="7" t="n"/>
      <c r="D502" s="7" t="n"/>
      <c r="E502" s="15" t="n"/>
      <c r="F502" s="15" t="n"/>
      <c r="G502" s="15" t="n"/>
      <c r="H502" s="16" t="n"/>
      <c r="I502" s="16" t="n"/>
      <c r="J502" s="12">
        <f>IF(OR(E502="",F502=""),"",ROUND((MOD(F502-E502,1)-N(G502))*24,2))</f>
        <v/>
      </c>
      <c r="K502" s="12">
        <f>IF(OR(A502="",B502=""),"",SUMIFS(Paradas!$F$5:$F$1004,Paradas!$A$5:$A$1004,A502,Paradas!$B$5:$B$1004,B502))</f>
        <v/>
      </c>
      <c r="L502" s="12">
        <f>IF(J502="","",J502-N(K502))</f>
        <v/>
      </c>
      <c r="M502" s="13">
        <f>IF(OR(A502="",B502=""),"",COUNTIFS(Paradas!$A$5:$A$1004,A502,Paradas!$B$5:$B$1004,B502))</f>
        <v/>
      </c>
      <c r="N502" s="12">
        <f>IF(OR(H502="",I502=""),"",I502-H502)</f>
        <v/>
      </c>
      <c r="O502" s="7" t="n"/>
    </row>
    <row r="503">
      <c r="A503" s="14" t="n"/>
      <c r="B503" s="7" t="n"/>
      <c r="C503" s="7" t="n"/>
      <c r="D503" s="7" t="n"/>
      <c r="E503" s="15" t="n"/>
      <c r="F503" s="15" t="n"/>
      <c r="G503" s="15" t="n"/>
      <c r="H503" s="16" t="n"/>
      <c r="I503" s="16" t="n"/>
      <c r="J503" s="12">
        <f>IF(OR(E503="",F503=""),"",ROUND((MOD(F503-E503,1)-N(G503))*24,2))</f>
        <v/>
      </c>
      <c r="K503" s="12">
        <f>IF(OR(A503="",B503=""),"",SUMIFS(Paradas!$F$5:$F$1004,Paradas!$A$5:$A$1004,A503,Paradas!$B$5:$B$1004,B503))</f>
        <v/>
      </c>
      <c r="L503" s="12">
        <f>IF(J503="","",J503-N(K503))</f>
        <v/>
      </c>
      <c r="M503" s="13">
        <f>IF(OR(A503="",B503=""),"",COUNTIFS(Paradas!$A$5:$A$1004,A503,Paradas!$B$5:$B$1004,B503))</f>
        <v/>
      </c>
      <c r="N503" s="12">
        <f>IF(OR(H503="",I503=""),"",I503-H503)</f>
        <v/>
      </c>
      <c r="O503" s="7" t="n"/>
    </row>
    <row r="504">
      <c r="A504" s="14" t="n"/>
      <c r="B504" s="7" t="n"/>
      <c r="C504" s="7" t="n"/>
      <c r="D504" s="7" t="n"/>
      <c r="E504" s="15" t="n"/>
      <c r="F504" s="15" t="n"/>
      <c r="G504" s="15" t="n"/>
      <c r="H504" s="16" t="n"/>
      <c r="I504" s="16" t="n"/>
      <c r="J504" s="12">
        <f>IF(OR(E504="",F504=""),"",ROUND((MOD(F504-E504,1)-N(G504))*24,2))</f>
        <v/>
      </c>
      <c r="K504" s="12">
        <f>IF(OR(A504="",B504=""),"",SUMIFS(Paradas!$F$5:$F$1004,Paradas!$A$5:$A$1004,A504,Paradas!$B$5:$B$1004,B504))</f>
        <v/>
      </c>
      <c r="L504" s="12">
        <f>IF(J504="","",J504-N(K504))</f>
        <v/>
      </c>
      <c r="M504" s="13">
        <f>IF(OR(A504="",B504=""),"",COUNTIFS(Paradas!$A$5:$A$1004,A504,Paradas!$B$5:$B$1004,B504))</f>
        <v/>
      </c>
      <c r="N504" s="12">
        <f>IF(OR(H504="",I504=""),"",I504-H504)</f>
        <v/>
      </c>
      <c r="O504" s="7" t="n"/>
    </row>
  </sheetData>
  <autoFilter ref="A4:O504"/>
  <conditionalFormatting sqref="L5:L504">
    <cfRule type="expression" priority="1" dxfId="0">
      <formula>AND(ISNUMBER(L5),L5&lt;0)</formula>
    </cfRule>
  </conditionalFormatting>
  <dataValidations count="1">
    <dataValidation sqref="B5:B504" showDropDown="0" showInputMessage="0" showErrorMessage="0" allowBlank="1" type="list">
      <formula1>=Equipamentos!$A$5:$A$10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28" customWidth="1" min="5" max="5"/>
    <col width="11" customWidth="1" min="6" max="6"/>
    <col width="38" customWidth="1" min="7" max="7"/>
    <col width="20" customWidth="1" min="8" max="8"/>
  </cols>
  <sheetData>
    <row r="1">
      <c r="A1" s="1" t="inlineStr">
        <is>
          <t>REGISTRO DE PARADAS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Uma linha por parada. Use a MESMA data e o MESMO equipamento do lançamento diário. Pode lançar quantas paradas quiser no mesmo dia.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2" customHeight="1">
      <c r="A4" s="8" t="inlineStr">
        <is>
          <t>Data</t>
        </is>
      </c>
      <c r="B4" s="8" t="inlineStr">
        <is>
          <t>Equipamento</t>
        </is>
      </c>
      <c r="C4" s="8" t="inlineStr">
        <is>
          <t>Início da parada</t>
        </is>
      </c>
      <c r="D4" s="8" t="inlineStr">
        <is>
          <t>Fim da parada</t>
        </is>
      </c>
      <c r="E4" s="8" t="inlineStr">
        <is>
          <t>Motivo</t>
        </is>
      </c>
      <c r="F4" s="8" t="inlineStr">
        <is>
          <t>Duração (h)</t>
        </is>
      </c>
      <c r="G4" s="8" t="inlineStr">
        <is>
          <t>Descrição / detalhe</t>
        </is>
      </c>
      <c r="H4" s="8" t="inlineStr">
        <is>
          <t>Lançamento diário encontrado?</t>
        </is>
      </c>
    </row>
    <row r="5">
      <c r="A5" s="9" t="n">
        <v>46266</v>
      </c>
      <c r="B5" s="6" t="inlineStr">
        <is>
          <t>Guindaste 30 t</t>
        </is>
      </c>
      <c r="C5" s="10" t="n">
        <v>0.375</v>
      </c>
      <c r="D5" s="10" t="n">
        <v>0.4375</v>
      </c>
      <c r="E5" s="6" t="inlineStr">
        <is>
          <t>Manutenção</t>
        </is>
      </c>
      <c r="F5" s="12">
        <f>IF(OR(C5="",D5=""),"",ROUND(MOD(D5-C5,1)*24,2))</f>
        <v/>
      </c>
      <c r="G5" s="6" t="inlineStr">
        <is>
          <t>Troca de mangueira hidráulica (EXEMPLO)</t>
        </is>
      </c>
      <c r="H5" s="17">
        <f>IF(OR(A5="",B5=""),"",IF(COUNTIFS('Lançamentos Diários'!$A$5:$A$504,A5,'Lançamentos Diários'!$B$5:$B$504,B5)&gt;0,"OK","FALTA LANÇAMENTO"))</f>
        <v/>
      </c>
    </row>
    <row r="6">
      <c r="A6" s="9" t="n">
        <v>46266</v>
      </c>
      <c r="B6" s="6" t="inlineStr">
        <is>
          <t>Guindaste 30 t</t>
        </is>
      </c>
      <c r="C6" s="10" t="n">
        <v>0.5833333333333334</v>
      </c>
      <c r="D6" s="10" t="n">
        <v>0.625</v>
      </c>
      <c r="E6" s="6" t="inlineStr">
        <is>
          <t>Vazamento de óleo</t>
        </is>
      </c>
      <c r="F6" s="12">
        <f>IF(OR(C6="",D6=""),"",ROUND(MOD(D6-C6,1)*24,2))</f>
        <v/>
      </c>
      <c r="G6" s="6" t="inlineStr">
        <is>
          <t>Vazamento no cilindro da lança (EXEMPLO)</t>
        </is>
      </c>
      <c r="H6" s="17">
        <f>IF(OR(A6="",B6=""),"",IF(COUNTIFS('Lançamentos Diários'!$A$5:$A$504,A6,'Lançamentos Diários'!$B$5:$B$504,B6)&gt;0,"OK","FALTA LANÇAMENTO"))</f>
        <v/>
      </c>
    </row>
    <row r="7">
      <c r="A7" s="14" t="n"/>
      <c r="B7" s="7" t="n"/>
      <c r="C7" s="15" t="n"/>
      <c r="D7" s="15" t="n"/>
      <c r="E7" s="7" t="n"/>
      <c r="F7" s="12">
        <f>IF(OR(C7="",D7=""),"",ROUND(MOD(D7-C7,1)*24,2))</f>
        <v/>
      </c>
      <c r="G7" s="7" t="n"/>
      <c r="H7" s="17">
        <f>IF(OR(A7="",B7=""),"",IF(COUNTIFS('Lançamentos Diários'!$A$5:$A$504,A7,'Lançamentos Diários'!$B$5:$B$504,B7)&gt;0,"OK","FALTA LANÇAMENTO"))</f>
        <v/>
      </c>
    </row>
    <row r="8">
      <c r="A8" s="14" t="n"/>
      <c r="B8" s="7" t="n"/>
      <c r="C8" s="15" t="n"/>
      <c r="D8" s="15" t="n"/>
      <c r="E8" s="7" t="n"/>
      <c r="F8" s="12">
        <f>IF(OR(C8="",D8=""),"",ROUND(MOD(D8-C8,1)*24,2))</f>
        <v/>
      </c>
      <c r="G8" s="7" t="n"/>
      <c r="H8" s="17">
        <f>IF(OR(A8="",B8=""),"",IF(COUNTIFS('Lançamentos Diários'!$A$5:$A$504,A8,'Lançamentos Diários'!$B$5:$B$504,B8)&gt;0,"OK","FALTA LANÇAMENTO"))</f>
        <v/>
      </c>
    </row>
    <row r="9">
      <c r="A9" s="14" t="n"/>
      <c r="B9" s="7" t="n"/>
      <c r="C9" s="15" t="n"/>
      <c r="D9" s="15" t="n"/>
      <c r="E9" s="7" t="n"/>
      <c r="F9" s="12">
        <f>IF(OR(C9="",D9=""),"",ROUND(MOD(D9-C9,1)*24,2))</f>
        <v/>
      </c>
      <c r="G9" s="7" t="n"/>
      <c r="H9" s="17">
        <f>IF(OR(A9="",B9=""),"",IF(COUNTIFS('Lançamentos Diários'!$A$5:$A$504,A9,'Lançamentos Diários'!$B$5:$B$504,B9)&gt;0,"OK","FALTA LANÇAMENTO"))</f>
        <v/>
      </c>
    </row>
    <row r="10">
      <c r="A10" s="14" t="n"/>
      <c r="B10" s="7" t="n"/>
      <c r="C10" s="15" t="n"/>
      <c r="D10" s="15" t="n"/>
      <c r="E10" s="7" t="n"/>
      <c r="F10" s="12">
        <f>IF(OR(C10="",D10=""),"",ROUND(MOD(D10-C10,1)*24,2))</f>
        <v/>
      </c>
      <c r="G10" s="7" t="n"/>
      <c r="H10" s="17">
        <f>IF(OR(A10="",B10=""),"",IF(COUNTIFS('Lançamentos Diários'!$A$5:$A$504,A10,'Lançamentos Diários'!$B$5:$B$504,B10)&gt;0,"OK","FALTA LANÇAMENTO"))</f>
        <v/>
      </c>
    </row>
    <row r="11">
      <c r="A11" s="14" t="n"/>
      <c r="B11" s="7" t="n"/>
      <c r="C11" s="15" t="n"/>
      <c r="D11" s="15" t="n"/>
      <c r="E11" s="7" t="n"/>
      <c r="F11" s="12">
        <f>IF(OR(C11="",D11=""),"",ROUND(MOD(D11-C11,1)*24,2))</f>
        <v/>
      </c>
      <c r="G11" s="7" t="n"/>
      <c r="H11" s="17">
        <f>IF(OR(A11="",B11=""),"",IF(COUNTIFS('Lançamentos Diários'!$A$5:$A$504,A11,'Lançamentos Diários'!$B$5:$B$504,B11)&gt;0,"OK","FALTA LANÇAMENTO"))</f>
        <v/>
      </c>
    </row>
    <row r="12">
      <c r="A12" s="14" t="n"/>
      <c r="B12" s="7" t="n"/>
      <c r="C12" s="15" t="n"/>
      <c r="D12" s="15" t="n"/>
      <c r="E12" s="7" t="n"/>
      <c r="F12" s="12">
        <f>IF(OR(C12="",D12=""),"",ROUND(MOD(D12-C12,1)*24,2))</f>
        <v/>
      </c>
      <c r="G12" s="7" t="n"/>
      <c r="H12" s="17">
        <f>IF(OR(A12="",B12=""),"",IF(COUNTIFS('Lançamentos Diários'!$A$5:$A$504,A12,'Lançamentos Diários'!$B$5:$B$504,B12)&gt;0,"OK","FALTA LANÇAMENTO"))</f>
        <v/>
      </c>
    </row>
    <row r="13">
      <c r="A13" s="14" t="n"/>
      <c r="B13" s="7" t="n"/>
      <c r="C13" s="15" t="n"/>
      <c r="D13" s="15" t="n"/>
      <c r="E13" s="7" t="n"/>
      <c r="F13" s="12">
        <f>IF(OR(C13="",D13=""),"",ROUND(MOD(D13-C13,1)*24,2))</f>
        <v/>
      </c>
      <c r="G13" s="7" t="n"/>
      <c r="H13" s="17">
        <f>IF(OR(A13="",B13=""),"",IF(COUNTIFS('Lançamentos Diários'!$A$5:$A$504,A13,'Lançamentos Diários'!$B$5:$B$504,B13)&gt;0,"OK","FALTA LANÇAMENTO"))</f>
        <v/>
      </c>
    </row>
    <row r="14">
      <c r="A14" s="14" t="n"/>
      <c r="B14" s="7" t="n"/>
      <c r="C14" s="15" t="n"/>
      <c r="D14" s="15" t="n"/>
      <c r="E14" s="7" t="n"/>
      <c r="F14" s="12">
        <f>IF(OR(C14="",D14=""),"",ROUND(MOD(D14-C14,1)*24,2))</f>
        <v/>
      </c>
      <c r="G14" s="7" t="n"/>
      <c r="H14" s="17">
        <f>IF(OR(A14="",B14=""),"",IF(COUNTIFS('Lançamentos Diários'!$A$5:$A$504,A14,'Lançamentos Diários'!$B$5:$B$504,B14)&gt;0,"OK","FALTA LANÇAMENTO"))</f>
        <v/>
      </c>
    </row>
    <row r="15">
      <c r="A15" s="14" t="n"/>
      <c r="B15" s="7" t="n"/>
      <c r="C15" s="15" t="n"/>
      <c r="D15" s="15" t="n"/>
      <c r="E15" s="7" t="n"/>
      <c r="F15" s="12">
        <f>IF(OR(C15="",D15=""),"",ROUND(MOD(D15-C15,1)*24,2))</f>
        <v/>
      </c>
      <c r="G15" s="7" t="n"/>
      <c r="H15" s="17">
        <f>IF(OR(A15="",B15=""),"",IF(COUNTIFS('Lançamentos Diários'!$A$5:$A$504,A15,'Lançamentos Diários'!$B$5:$B$504,B15)&gt;0,"OK","FALTA LANÇAMENTO"))</f>
        <v/>
      </c>
    </row>
    <row r="16">
      <c r="A16" s="14" t="n"/>
      <c r="B16" s="7" t="n"/>
      <c r="C16" s="15" t="n"/>
      <c r="D16" s="15" t="n"/>
      <c r="E16" s="7" t="n"/>
      <c r="F16" s="12">
        <f>IF(OR(C16="",D16=""),"",ROUND(MOD(D16-C16,1)*24,2))</f>
        <v/>
      </c>
      <c r="G16" s="7" t="n"/>
      <c r="H16" s="17">
        <f>IF(OR(A16="",B16=""),"",IF(COUNTIFS('Lançamentos Diários'!$A$5:$A$504,A16,'Lançamentos Diários'!$B$5:$B$504,B16)&gt;0,"OK","FALTA LANÇAMENTO"))</f>
        <v/>
      </c>
    </row>
    <row r="17">
      <c r="A17" s="14" t="n"/>
      <c r="B17" s="7" t="n"/>
      <c r="C17" s="15" t="n"/>
      <c r="D17" s="15" t="n"/>
      <c r="E17" s="7" t="n"/>
      <c r="F17" s="12">
        <f>IF(OR(C17="",D17=""),"",ROUND(MOD(D17-C17,1)*24,2))</f>
        <v/>
      </c>
      <c r="G17" s="7" t="n"/>
      <c r="H17" s="17">
        <f>IF(OR(A17="",B17=""),"",IF(COUNTIFS('Lançamentos Diários'!$A$5:$A$504,A17,'Lançamentos Diários'!$B$5:$B$504,B17)&gt;0,"OK","FALTA LANÇAMENTO"))</f>
        <v/>
      </c>
    </row>
    <row r="18">
      <c r="A18" s="14" t="n"/>
      <c r="B18" s="7" t="n"/>
      <c r="C18" s="15" t="n"/>
      <c r="D18" s="15" t="n"/>
      <c r="E18" s="7" t="n"/>
      <c r="F18" s="12">
        <f>IF(OR(C18="",D18=""),"",ROUND(MOD(D18-C18,1)*24,2))</f>
        <v/>
      </c>
      <c r="G18" s="7" t="n"/>
      <c r="H18" s="17">
        <f>IF(OR(A18="",B18=""),"",IF(COUNTIFS('Lançamentos Diários'!$A$5:$A$504,A18,'Lançamentos Diários'!$B$5:$B$504,B18)&gt;0,"OK","FALTA LANÇAMENTO"))</f>
        <v/>
      </c>
    </row>
    <row r="19">
      <c r="A19" s="14" t="n"/>
      <c r="B19" s="7" t="n"/>
      <c r="C19" s="15" t="n"/>
      <c r="D19" s="15" t="n"/>
      <c r="E19" s="7" t="n"/>
      <c r="F19" s="12">
        <f>IF(OR(C19="",D19=""),"",ROUND(MOD(D19-C19,1)*24,2))</f>
        <v/>
      </c>
      <c r="G19" s="7" t="n"/>
      <c r="H19" s="17">
        <f>IF(OR(A19="",B19=""),"",IF(COUNTIFS('Lançamentos Diários'!$A$5:$A$504,A19,'Lançamentos Diários'!$B$5:$B$504,B19)&gt;0,"OK","FALTA LANÇAMENTO"))</f>
        <v/>
      </c>
    </row>
    <row r="20">
      <c r="A20" s="14" t="n"/>
      <c r="B20" s="7" t="n"/>
      <c r="C20" s="15" t="n"/>
      <c r="D20" s="15" t="n"/>
      <c r="E20" s="7" t="n"/>
      <c r="F20" s="12">
        <f>IF(OR(C20="",D20=""),"",ROUND(MOD(D20-C20,1)*24,2))</f>
        <v/>
      </c>
      <c r="G20" s="7" t="n"/>
      <c r="H20" s="17">
        <f>IF(OR(A20="",B20=""),"",IF(COUNTIFS('Lançamentos Diários'!$A$5:$A$504,A20,'Lançamentos Diários'!$B$5:$B$504,B20)&gt;0,"OK","FALTA LANÇAMENTO"))</f>
        <v/>
      </c>
    </row>
    <row r="21">
      <c r="A21" s="14" t="n"/>
      <c r="B21" s="7" t="n"/>
      <c r="C21" s="15" t="n"/>
      <c r="D21" s="15" t="n"/>
      <c r="E21" s="7" t="n"/>
      <c r="F21" s="12">
        <f>IF(OR(C21="",D21=""),"",ROUND(MOD(D21-C21,1)*24,2))</f>
        <v/>
      </c>
      <c r="G21" s="7" t="n"/>
      <c r="H21" s="17">
        <f>IF(OR(A21="",B21=""),"",IF(COUNTIFS('Lançamentos Diários'!$A$5:$A$504,A21,'Lançamentos Diários'!$B$5:$B$504,B21)&gt;0,"OK","FALTA LANÇAMENTO"))</f>
        <v/>
      </c>
    </row>
    <row r="22">
      <c r="A22" s="14" t="n"/>
      <c r="B22" s="7" t="n"/>
      <c r="C22" s="15" t="n"/>
      <c r="D22" s="15" t="n"/>
      <c r="E22" s="7" t="n"/>
      <c r="F22" s="12">
        <f>IF(OR(C22="",D22=""),"",ROUND(MOD(D22-C22,1)*24,2))</f>
        <v/>
      </c>
      <c r="G22" s="7" t="n"/>
      <c r="H22" s="17">
        <f>IF(OR(A22="",B22=""),"",IF(COUNTIFS('Lançamentos Diários'!$A$5:$A$504,A22,'Lançamentos Diários'!$B$5:$B$504,B22)&gt;0,"OK","FALTA LANÇAMENTO"))</f>
        <v/>
      </c>
    </row>
    <row r="23">
      <c r="A23" s="14" t="n"/>
      <c r="B23" s="7" t="n"/>
      <c r="C23" s="15" t="n"/>
      <c r="D23" s="15" t="n"/>
      <c r="E23" s="7" t="n"/>
      <c r="F23" s="12">
        <f>IF(OR(C23="",D23=""),"",ROUND(MOD(D23-C23,1)*24,2))</f>
        <v/>
      </c>
      <c r="G23" s="7" t="n"/>
      <c r="H23" s="17">
        <f>IF(OR(A23="",B23=""),"",IF(COUNTIFS('Lançamentos Diários'!$A$5:$A$504,A23,'Lançamentos Diários'!$B$5:$B$504,B23)&gt;0,"OK","FALTA LANÇAMENTO"))</f>
        <v/>
      </c>
    </row>
    <row r="24">
      <c r="A24" s="14" t="n"/>
      <c r="B24" s="7" t="n"/>
      <c r="C24" s="15" t="n"/>
      <c r="D24" s="15" t="n"/>
      <c r="E24" s="7" t="n"/>
      <c r="F24" s="12">
        <f>IF(OR(C24="",D24=""),"",ROUND(MOD(D24-C24,1)*24,2))</f>
        <v/>
      </c>
      <c r="G24" s="7" t="n"/>
      <c r="H24" s="17">
        <f>IF(OR(A24="",B24=""),"",IF(COUNTIFS('Lançamentos Diários'!$A$5:$A$504,A24,'Lançamentos Diários'!$B$5:$B$504,B24)&gt;0,"OK","FALTA LANÇAMENTO"))</f>
        <v/>
      </c>
    </row>
    <row r="25">
      <c r="A25" s="14" t="n"/>
      <c r="B25" s="7" t="n"/>
      <c r="C25" s="15" t="n"/>
      <c r="D25" s="15" t="n"/>
      <c r="E25" s="7" t="n"/>
      <c r="F25" s="12">
        <f>IF(OR(C25="",D25=""),"",ROUND(MOD(D25-C25,1)*24,2))</f>
        <v/>
      </c>
      <c r="G25" s="7" t="n"/>
      <c r="H25" s="17">
        <f>IF(OR(A25="",B25=""),"",IF(COUNTIFS('Lançamentos Diários'!$A$5:$A$504,A25,'Lançamentos Diários'!$B$5:$B$504,B25)&gt;0,"OK","FALTA LANÇAMENTO"))</f>
        <v/>
      </c>
    </row>
    <row r="26">
      <c r="A26" s="14" t="n"/>
      <c r="B26" s="7" t="n"/>
      <c r="C26" s="15" t="n"/>
      <c r="D26" s="15" t="n"/>
      <c r="E26" s="7" t="n"/>
      <c r="F26" s="12">
        <f>IF(OR(C26="",D26=""),"",ROUND(MOD(D26-C26,1)*24,2))</f>
        <v/>
      </c>
      <c r="G26" s="7" t="n"/>
      <c r="H26" s="17">
        <f>IF(OR(A26="",B26=""),"",IF(COUNTIFS('Lançamentos Diários'!$A$5:$A$504,A26,'Lançamentos Diários'!$B$5:$B$504,B26)&gt;0,"OK","FALTA LANÇAMENTO"))</f>
        <v/>
      </c>
    </row>
    <row r="27">
      <c r="A27" s="14" t="n"/>
      <c r="B27" s="7" t="n"/>
      <c r="C27" s="15" t="n"/>
      <c r="D27" s="15" t="n"/>
      <c r="E27" s="7" t="n"/>
      <c r="F27" s="12">
        <f>IF(OR(C27="",D27=""),"",ROUND(MOD(D27-C27,1)*24,2))</f>
        <v/>
      </c>
      <c r="G27" s="7" t="n"/>
      <c r="H27" s="17">
        <f>IF(OR(A27="",B27=""),"",IF(COUNTIFS('Lançamentos Diários'!$A$5:$A$504,A27,'Lançamentos Diários'!$B$5:$B$504,B27)&gt;0,"OK","FALTA LANÇAMENTO"))</f>
        <v/>
      </c>
    </row>
    <row r="28">
      <c r="A28" s="14" t="n"/>
      <c r="B28" s="7" t="n"/>
      <c r="C28" s="15" t="n"/>
      <c r="D28" s="15" t="n"/>
      <c r="E28" s="7" t="n"/>
      <c r="F28" s="12">
        <f>IF(OR(C28="",D28=""),"",ROUND(MOD(D28-C28,1)*24,2))</f>
        <v/>
      </c>
      <c r="G28" s="7" t="n"/>
      <c r="H28" s="17">
        <f>IF(OR(A28="",B28=""),"",IF(COUNTIFS('Lançamentos Diários'!$A$5:$A$504,A28,'Lançamentos Diários'!$B$5:$B$504,B28)&gt;0,"OK","FALTA LANÇAMENTO"))</f>
        <v/>
      </c>
    </row>
    <row r="29">
      <c r="A29" s="14" t="n"/>
      <c r="B29" s="7" t="n"/>
      <c r="C29" s="15" t="n"/>
      <c r="D29" s="15" t="n"/>
      <c r="E29" s="7" t="n"/>
      <c r="F29" s="12">
        <f>IF(OR(C29="",D29=""),"",ROUND(MOD(D29-C29,1)*24,2))</f>
        <v/>
      </c>
      <c r="G29" s="7" t="n"/>
      <c r="H29" s="17">
        <f>IF(OR(A29="",B29=""),"",IF(COUNTIFS('Lançamentos Diários'!$A$5:$A$504,A29,'Lançamentos Diários'!$B$5:$B$504,B29)&gt;0,"OK","FALTA LANÇAMENTO"))</f>
        <v/>
      </c>
    </row>
    <row r="30">
      <c r="A30" s="14" t="n"/>
      <c r="B30" s="7" t="n"/>
      <c r="C30" s="15" t="n"/>
      <c r="D30" s="15" t="n"/>
      <c r="E30" s="7" t="n"/>
      <c r="F30" s="12">
        <f>IF(OR(C30="",D30=""),"",ROUND(MOD(D30-C30,1)*24,2))</f>
        <v/>
      </c>
      <c r="G30" s="7" t="n"/>
      <c r="H30" s="17">
        <f>IF(OR(A30="",B30=""),"",IF(COUNTIFS('Lançamentos Diários'!$A$5:$A$504,A30,'Lançamentos Diários'!$B$5:$B$504,B30)&gt;0,"OK","FALTA LANÇAMENTO"))</f>
        <v/>
      </c>
    </row>
    <row r="31">
      <c r="A31" s="14" t="n"/>
      <c r="B31" s="7" t="n"/>
      <c r="C31" s="15" t="n"/>
      <c r="D31" s="15" t="n"/>
      <c r="E31" s="7" t="n"/>
      <c r="F31" s="12">
        <f>IF(OR(C31="",D31=""),"",ROUND(MOD(D31-C31,1)*24,2))</f>
        <v/>
      </c>
      <c r="G31" s="7" t="n"/>
      <c r="H31" s="17">
        <f>IF(OR(A31="",B31=""),"",IF(COUNTIFS('Lançamentos Diários'!$A$5:$A$504,A31,'Lançamentos Diários'!$B$5:$B$504,B31)&gt;0,"OK","FALTA LANÇAMENTO"))</f>
        <v/>
      </c>
    </row>
    <row r="32">
      <c r="A32" s="14" t="n"/>
      <c r="B32" s="7" t="n"/>
      <c r="C32" s="15" t="n"/>
      <c r="D32" s="15" t="n"/>
      <c r="E32" s="7" t="n"/>
      <c r="F32" s="12">
        <f>IF(OR(C32="",D32=""),"",ROUND(MOD(D32-C32,1)*24,2))</f>
        <v/>
      </c>
      <c r="G32" s="7" t="n"/>
      <c r="H32" s="17">
        <f>IF(OR(A32="",B32=""),"",IF(COUNTIFS('Lançamentos Diários'!$A$5:$A$504,A32,'Lançamentos Diários'!$B$5:$B$504,B32)&gt;0,"OK","FALTA LANÇAMENTO"))</f>
        <v/>
      </c>
    </row>
    <row r="33">
      <c r="A33" s="14" t="n"/>
      <c r="B33" s="7" t="n"/>
      <c r="C33" s="15" t="n"/>
      <c r="D33" s="15" t="n"/>
      <c r="E33" s="7" t="n"/>
      <c r="F33" s="12">
        <f>IF(OR(C33="",D33=""),"",ROUND(MOD(D33-C33,1)*24,2))</f>
        <v/>
      </c>
      <c r="G33" s="7" t="n"/>
      <c r="H33" s="17">
        <f>IF(OR(A33="",B33=""),"",IF(COUNTIFS('Lançamentos Diários'!$A$5:$A$504,A33,'Lançamentos Diários'!$B$5:$B$504,B33)&gt;0,"OK","FALTA LANÇAMENTO"))</f>
        <v/>
      </c>
    </row>
    <row r="34">
      <c r="A34" s="14" t="n"/>
      <c r="B34" s="7" t="n"/>
      <c r="C34" s="15" t="n"/>
      <c r="D34" s="15" t="n"/>
      <c r="E34" s="7" t="n"/>
      <c r="F34" s="12">
        <f>IF(OR(C34="",D34=""),"",ROUND(MOD(D34-C34,1)*24,2))</f>
        <v/>
      </c>
      <c r="G34" s="7" t="n"/>
      <c r="H34" s="17">
        <f>IF(OR(A34="",B34=""),"",IF(COUNTIFS('Lançamentos Diários'!$A$5:$A$504,A34,'Lançamentos Diários'!$B$5:$B$504,B34)&gt;0,"OK","FALTA LANÇAMENTO"))</f>
        <v/>
      </c>
    </row>
    <row r="35">
      <c r="A35" s="14" t="n"/>
      <c r="B35" s="7" t="n"/>
      <c r="C35" s="15" t="n"/>
      <c r="D35" s="15" t="n"/>
      <c r="E35" s="7" t="n"/>
      <c r="F35" s="12">
        <f>IF(OR(C35="",D35=""),"",ROUND(MOD(D35-C35,1)*24,2))</f>
        <v/>
      </c>
      <c r="G35" s="7" t="n"/>
      <c r="H35" s="17">
        <f>IF(OR(A35="",B35=""),"",IF(COUNTIFS('Lançamentos Diários'!$A$5:$A$504,A35,'Lançamentos Diários'!$B$5:$B$504,B35)&gt;0,"OK","FALTA LANÇAMENTO"))</f>
        <v/>
      </c>
    </row>
    <row r="36">
      <c r="A36" s="14" t="n"/>
      <c r="B36" s="7" t="n"/>
      <c r="C36" s="15" t="n"/>
      <c r="D36" s="15" t="n"/>
      <c r="E36" s="7" t="n"/>
      <c r="F36" s="12">
        <f>IF(OR(C36="",D36=""),"",ROUND(MOD(D36-C36,1)*24,2))</f>
        <v/>
      </c>
      <c r="G36" s="7" t="n"/>
      <c r="H36" s="17">
        <f>IF(OR(A36="",B36=""),"",IF(COUNTIFS('Lançamentos Diários'!$A$5:$A$504,A36,'Lançamentos Diários'!$B$5:$B$504,B36)&gt;0,"OK","FALTA LANÇAMENTO"))</f>
        <v/>
      </c>
    </row>
    <row r="37">
      <c r="A37" s="14" t="n"/>
      <c r="B37" s="7" t="n"/>
      <c r="C37" s="15" t="n"/>
      <c r="D37" s="15" t="n"/>
      <c r="E37" s="7" t="n"/>
      <c r="F37" s="12">
        <f>IF(OR(C37="",D37=""),"",ROUND(MOD(D37-C37,1)*24,2))</f>
        <v/>
      </c>
      <c r="G37" s="7" t="n"/>
      <c r="H37" s="17">
        <f>IF(OR(A37="",B37=""),"",IF(COUNTIFS('Lançamentos Diários'!$A$5:$A$504,A37,'Lançamentos Diários'!$B$5:$B$504,B37)&gt;0,"OK","FALTA LANÇAMENTO"))</f>
        <v/>
      </c>
    </row>
    <row r="38">
      <c r="A38" s="14" t="n"/>
      <c r="B38" s="7" t="n"/>
      <c r="C38" s="15" t="n"/>
      <c r="D38" s="15" t="n"/>
      <c r="E38" s="7" t="n"/>
      <c r="F38" s="12">
        <f>IF(OR(C38="",D38=""),"",ROUND(MOD(D38-C38,1)*24,2))</f>
        <v/>
      </c>
      <c r="G38" s="7" t="n"/>
      <c r="H38" s="17">
        <f>IF(OR(A38="",B38=""),"",IF(COUNTIFS('Lançamentos Diários'!$A$5:$A$504,A38,'Lançamentos Diários'!$B$5:$B$504,B38)&gt;0,"OK","FALTA LANÇAMENTO"))</f>
        <v/>
      </c>
    </row>
    <row r="39">
      <c r="A39" s="14" t="n"/>
      <c r="B39" s="7" t="n"/>
      <c r="C39" s="15" t="n"/>
      <c r="D39" s="15" t="n"/>
      <c r="E39" s="7" t="n"/>
      <c r="F39" s="12">
        <f>IF(OR(C39="",D39=""),"",ROUND(MOD(D39-C39,1)*24,2))</f>
        <v/>
      </c>
      <c r="G39" s="7" t="n"/>
      <c r="H39" s="17">
        <f>IF(OR(A39="",B39=""),"",IF(COUNTIFS('Lançamentos Diários'!$A$5:$A$504,A39,'Lançamentos Diários'!$B$5:$B$504,B39)&gt;0,"OK","FALTA LANÇAMENTO"))</f>
        <v/>
      </c>
    </row>
    <row r="40">
      <c r="A40" s="14" t="n"/>
      <c r="B40" s="7" t="n"/>
      <c r="C40" s="15" t="n"/>
      <c r="D40" s="15" t="n"/>
      <c r="E40" s="7" t="n"/>
      <c r="F40" s="12">
        <f>IF(OR(C40="",D40=""),"",ROUND(MOD(D40-C40,1)*24,2))</f>
        <v/>
      </c>
      <c r="G40" s="7" t="n"/>
      <c r="H40" s="17">
        <f>IF(OR(A40="",B40=""),"",IF(COUNTIFS('Lançamentos Diários'!$A$5:$A$504,A40,'Lançamentos Diários'!$B$5:$B$504,B40)&gt;0,"OK","FALTA LANÇAMENTO"))</f>
        <v/>
      </c>
    </row>
    <row r="41">
      <c r="A41" s="14" t="n"/>
      <c r="B41" s="7" t="n"/>
      <c r="C41" s="15" t="n"/>
      <c r="D41" s="15" t="n"/>
      <c r="E41" s="7" t="n"/>
      <c r="F41" s="12">
        <f>IF(OR(C41="",D41=""),"",ROUND(MOD(D41-C41,1)*24,2))</f>
        <v/>
      </c>
      <c r="G41" s="7" t="n"/>
      <c r="H41" s="17">
        <f>IF(OR(A41="",B41=""),"",IF(COUNTIFS('Lançamentos Diários'!$A$5:$A$504,A41,'Lançamentos Diários'!$B$5:$B$504,B41)&gt;0,"OK","FALTA LANÇAMENTO"))</f>
        <v/>
      </c>
    </row>
    <row r="42">
      <c r="A42" s="14" t="n"/>
      <c r="B42" s="7" t="n"/>
      <c r="C42" s="15" t="n"/>
      <c r="D42" s="15" t="n"/>
      <c r="E42" s="7" t="n"/>
      <c r="F42" s="12">
        <f>IF(OR(C42="",D42=""),"",ROUND(MOD(D42-C42,1)*24,2))</f>
        <v/>
      </c>
      <c r="G42" s="7" t="n"/>
      <c r="H42" s="17">
        <f>IF(OR(A42="",B42=""),"",IF(COUNTIFS('Lançamentos Diários'!$A$5:$A$504,A42,'Lançamentos Diários'!$B$5:$B$504,B42)&gt;0,"OK","FALTA LANÇAMENTO"))</f>
        <v/>
      </c>
    </row>
    <row r="43">
      <c r="A43" s="14" t="n"/>
      <c r="B43" s="7" t="n"/>
      <c r="C43" s="15" t="n"/>
      <c r="D43" s="15" t="n"/>
      <c r="E43" s="7" t="n"/>
      <c r="F43" s="12">
        <f>IF(OR(C43="",D43=""),"",ROUND(MOD(D43-C43,1)*24,2))</f>
        <v/>
      </c>
      <c r="G43" s="7" t="n"/>
      <c r="H43" s="17">
        <f>IF(OR(A43="",B43=""),"",IF(COUNTIFS('Lançamentos Diários'!$A$5:$A$504,A43,'Lançamentos Diários'!$B$5:$B$504,B43)&gt;0,"OK","FALTA LANÇAMENTO"))</f>
        <v/>
      </c>
    </row>
    <row r="44">
      <c r="A44" s="14" t="n"/>
      <c r="B44" s="7" t="n"/>
      <c r="C44" s="15" t="n"/>
      <c r="D44" s="15" t="n"/>
      <c r="E44" s="7" t="n"/>
      <c r="F44" s="12">
        <f>IF(OR(C44="",D44=""),"",ROUND(MOD(D44-C44,1)*24,2))</f>
        <v/>
      </c>
      <c r="G44" s="7" t="n"/>
      <c r="H44" s="17">
        <f>IF(OR(A44="",B44=""),"",IF(COUNTIFS('Lançamentos Diários'!$A$5:$A$504,A44,'Lançamentos Diários'!$B$5:$B$504,B44)&gt;0,"OK","FALTA LANÇAMENTO"))</f>
        <v/>
      </c>
    </row>
    <row r="45">
      <c r="A45" s="14" t="n"/>
      <c r="B45" s="7" t="n"/>
      <c r="C45" s="15" t="n"/>
      <c r="D45" s="15" t="n"/>
      <c r="E45" s="7" t="n"/>
      <c r="F45" s="12">
        <f>IF(OR(C45="",D45=""),"",ROUND(MOD(D45-C45,1)*24,2))</f>
        <v/>
      </c>
      <c r="G45" s="7" t="n"/>
      <c r="H45" s="17">
        <f>IF(OR(A45="",B45=""),"",IF(COUNTIFS('Lançamentos Diários'!$A$5:$A$504,A45,'Lançamentos Diários'!$B$5:$B$504,B45)&gt;0,"OK","FALTA LANÇAMENTO"))</f>
        <v/>
      </c>
    </row>
    <row r="46">
      <c r="A46" s="14" t="n"/>
      <c r="B46" s="7" t="n"/>
      <c r="C46" s="15" t="n"/>
      <c r="D46" s="15" t="n"/>
      <c r="E46" s="7" t="n"/>
      <c r="F46" s="12">
        <f>IF(OR(C46="",D46=""),"",ROUND(MOD(D46-C46,1)*24,2))</f>
        <v/>
      </c>
      <c r="G46" s="7" t="n"/>
      <c r="H46" s="17">
        <f>IF(OR(A46="",B46=""),"",IF(COUNTIFS('Lançamentos Diários'!$A$5:$A$504,A46,'Lançamentos Diários'!$B$5:$B$504,B46)&gt;0,"OK","FALTA LANÇAMENTO"))</f>
        <v/>
      </c>
    </row>
    <row r="47">
      <c r="A47" s="14" t="n"/>
      <c r="B47" s="7" t="n"/>
      <c r="C47" s="15" t="n"/>
      <c r="D47" s="15" t="n"/>
      <c r="E47" s="7" t="n"/>
      <c r="F47" s="12">
        <f>IF(OR(C47="",D47=""),"",ROUND(MOD(D47-C47,1)*24,2))</f>
        <v/>
      </c>
      <c r="G47" s="7" t="n"/>
      <c r="H47" s="17">
        <f>IF(OR(A47="",B47=""),"",IF(COUNTIFS('Lançamentos Diários'!$A$5:$A$504,A47,'Lançamentos Diários'!$B$5:$B$504,B47)&gt;0,"OK","FALTA LANÇAMENTO"))</f>
        <v/>
      </c>
    </row>
    <row r="48">
      <c r="A48" s="14" t="n"/>
      <c r="B48" s="7" t="n"/>
      <c r="C48" s="15" t="n"/>
      <c r="D48" s="15" t="n"/>
      <c r="E48" s="7" t="n"/>
      <c r="F48" s="12">
        <f>IF(OR(C48="",D48=""),"",ROUND(MOD(D48-C48,1)*24,2))</f>
        <v/>
      </c>
      <c r="G48" s="7" t="n"/>
      <c r="H48" s="17">
        <f>IF(OR(A48="",B48=""),"",IF(COUNTIFS('Lançamentos Diários'!$A$5:$A$504,A48,'Lançamentos Diários'!$B$5:$B$504,B48)&gt;0,"OK","FALTA LANÇAMENTO"))</f>
        <v/>
      </c>
    </row>
    <row r="49">
      <c r="A49" s="14" t="n"/>
      <c r="B49" s="7" t="n"/>
      <c r="C49" s="15" t="n"/>
      <c r="D49" s="15" t="n"/>
      <c r="E49" s="7" t="n"/>
      <c r="F49" s="12">
        <f>IF(OR(C49="",D49=""),"",ROUND(MOD(D49-C49,1)*24,2))</f>
        <v/>
      </c>
      <c r="G49" s="7" t="n"/>
      <c r="H49" s="17">
        <f>IF(OR(A49="",B49=""),"",IF(COUNTIFS('Lançamentos Diários'!$A$5:$A$504,A49,'Lançamentos Diários'!$B$5:$B$504,B49)&gt;0,"OK","FALTA LANÇAMENTO"))</f>
        <v/>
      </c>
    </row>
    <row r="50">
      <c r="A50" s="14" t="n"/>
      <c r="B50" s="7" t="n"/>
      <c r="C50" s="15" t="n"/>
      <c r="D50" s="15" t="n"/>
      <c r="E50" s="7" t="n"/>
      <c r="F50" s="12">
        <f>IF(OR(C50="",D50=""),"",ROUND(MOD(D50-C50,1)*24,2))</f>
        <v/>
      </c>
      <c r="G50" s="7" t="n"/>
      <c r="H50" s="17">
        <f>IF(OR(A50="",B50=""),"",IF(COUNTIFS('Lançamentos Diários'!$A$5:$A$504,A50,'Lançamentos Diários'!$B$5:$B$504,B50)&gt;0,"OK","FALTA LANÇAMENTO"))</f>
        <v/>
      </c>
    </row>
    <row r="51">
      <c r="A51" s="14" t="n"/>
      <c r="B51" s="7" t="n"/>
      <c r="C51" s="15" t="n"/>
      <c r="D51" s="15" t="n"/>
      <c r="E51" s="7" t="n"/>
      <c r="F51" s="12">
        <f>IF(OR(C51="",D51=""),"",ROUND(MOD(D51-C51,1)*24,2))</f>
        <v/>
      </c>
      <c r="G51" s="7" t="n"/>
      <c r="H51" s="17">
        <f>IF(OR(A51="",B51=""),"",IF(COUNTIFS('Lançamentos Diários'!$A$5:$A$504,A51,'Lançamentos Diários'!$B$5:$B$504,B51)&gt;0,"OK","FALTA LANÇAMENTO"))</f>
        <v/>
      </c>
    </row>
    <row r="52">
      <c r="A52" s="14" t="n"/>
      <c r="B52" s="7" t="n"/>
      <c r="C52" s="15" t="n"/>
      <c r="D52" s="15" t="n"/>
      <c r="E52" s="7" t="n"/>
      <c r="F52" s="12">
        <f>IF(OR(C52="",D52=""),"",ROUND(MOD(D52-C52,1)*24,2))</f>
        <v/>
      </c>
      <c r="G52" s="7" t="n"/>
      <c r="H52" s="17">
        <f>IF(OR(A52="",B52=""),"",IF(COUNTIFS('Lançamentos Diários'!$A$5:$A$504,A52,'Lançamentos Diários'!$B$5:$B$504,B52)&gt;0,"OK","FALTA LANÇAMENTO"))</f>
        <v/>
      </c>
    </row>
    <row r="53">
      <c r="A53" s="14" t="n"/>
      <c r="B53" s="7" t="n"/>
      <c r="C53" s="15" t="n"/>
      <c r="D53" s="15" t="n"/>
      <c r="E53" s="7" t="n"/>
      <c r="F53" s="12">
        <f>IF(OR(C53="",D53=""),"",ROUND(MOD(D53-C53,1)*24,2))</f>
        <v/>
      </c>
      <c r="G53" s="7" t="n"/>
      <c r="H53" s="17">
        <f>IF(OR(A53="",B53=""),"",IF(COUNTIFS('Lançamentos Diários'!$A$5:$A$504,A53,'Lançamentos Diários'!$B$5:$B$504,B53)&gt;0,"OK","FALTA LANÇAMENTO"))</f>
        <v/>
      </c>
    </row>
    <row r="54">
      <c r="A54" s="14" t="n"/>
      <c r="B54" s="7" t="n"/>
      <c r="C54" s="15" t="n"/>
      <c r="D54" s="15" t="n"/>
      <c r="E54" s="7" t="n"/>
      <c r="F54" s="12">
        <f>IF(OR(C54="",D54=""),"",ROUND(MOD(D54-C54,1)*24,2))</f>
        <v/>
      </c>
      <c r="G54" s="7" t="n"/>
      <c r="H54" s="17">
        <f>IF(OR(A54="",B54=""),"",IF(COUNTIFS('Lançamentos Diários'!$A$5:$A$504,A54,'Lançamentos Diários'!$B$5:$B$504,B54)&gt;0,"OK","FALTA LANÇAMENTO"))</f>
        <v/>
      </c>
    </row>
    <row r="55">
      <c r="A55" s="14" t="n"/>
      <c r="B55" s="7" t="n"/>
      <c r="C55" s="15" t="n"/>
      <c r="D55" s="15" t="n"/>
      <c r="E55" s="7" t="n"/>
      <c r="F55" s="12">
        <f>IF(OR(C55="",D55=""),"",ROUND(MOD(D55-C55,1)*24,2))</f>
        <v/>
      </c>
      <c r="G55" s="7" t="n"/>
      <c r="H55" s="17">
        <f>IF(OR(A55="",B55=""),"",IF(COUNTIFS('Lançamentos Diários'!$A$5:$A$504,A55,'Lançamentos Diários'!$B$5:$B$504,B55)&gt;0,"OK","FALTA LANÇAMENTO"))</f>
        <v/>
      </c>
    </row>
    <row r="56">
      <c r="A56" s="14" t="n"/>
      <c r="B56" s="7" t="n"/>
      <c r="C56" s="15" t="n"/>
      <c r="D56" s="15" t="n"/>
      <c r="E56" s="7" t="n"/>
      <c r="F56" s="12">
        <f>IF(OR(C56="",D56=""),"",ROUND(MOD(D56-C56,1)*24,2))</f>
        <v/>
      </c>
      <c r="G56" s="7" t="n"/>
      <c r="H56" s="17">
        <f>IF(OR(A56="",B56=""),"",IF(COUNTIFS('Lançamentos Diários'!$A$5:$A$504,A56,'Lançamentos Diários'!$B$5:$B$504,B56)&gt;0,"OK","FALTA LANÇAMENTO"))</f>
        <v/>
      </c>
    </row>
    <row r="57">
      <c r="A57" s="14" t="n"/>
      <c r="B57" s="7" t="n"/>
      <c r="C57" s="15" t="n"/>
      <c r="D57" s="15" t="n"/>
      <c r="E57" s="7" t="n"/>
      <c r="F57" s="12">
        <f>IF(OR(C57="",D57=""),"",ROUND(MOD(D57-C57,1)*24,2))</f>
        <v/>
      </c>
      <c r="G57" s="7" t="n"/>
      <c r="H57" s="17">
        <f>IF(OR(A57="",B57=""),"",IF(COUNTIFS('Lançamentos Diários'!$A$5:$A$504,A57,'Lançamentos Diários'!$B$5:$B$504,B57)&gt;0,"OK","FALTA LANÇAMENTO"))</f>
        <v/>
      </c>
    </row>
    <row r="58">
      <c r="A58" s="14" t="n"/>
      <c r="B58" s="7" t="n"/>
      <c r="C58" s="15" t="n"/>
      <c r="D58" s="15" t="n"/>
      <c r="E58" s="7" t="n"/>
      <c r="F58" s="12">
        <f>IF(OR(C58="",D58=""),"",ROUND(MOD(D58-C58,1)*24,2))</f>
        <v/>
      </c>
      <c r="G58" s="7" t="n"/>
      <c r="H58" s="17">
        <f>IF(OR(A58="",B58=""),"",IF(COUNTIFS('Lançamentos Diários'!$A$5:$A$504,A58,'Lançamentos Diários'!$B$5:$B$504,B58)&gt;0,"OK","FALTA LANÇAMENTO"))</f>
        <v/>
      </c>
    </row>
    <row r="59">
      <c r="A59" s="14" t="n"/>
      <c r="B59" s="7" t="n"/>
      <c r="C59" s="15" t="n"/>
      <c r="D59" s="15" t="n"/>
      <c r="E59" s="7" t="n"/>
      <c r="F59" s="12">
        <f>IF(OR(C59="",D59=""),"",ROUND(MOD(D59-C59,1)*24,2))</f>
        <v/>
      </c>
      <c r="G59" s="7" t="n"/>
      <c r="H59" s="17">
        <f>IF(OR(A59="",B59=""),"",IF(COUNTIFS('Lançamentos Diários'!$A$5:$A$504,A59,'Lançamentos Diários'!$B$5:$B$504,B59)&gt;0,"OK","FALTA LANÇAMENTO"))</f>
        <v/>
      </c>
    </row>
    <row r="60">
      <c r="A60" s="14" t="n"/>
      <c r="B60" s="7" t="n"/>
      <c r="C60" s="15" t="n"/>
      <c r="D60" s="15" t="n"/>
      <c r="E60" s="7" t="n"/>
      <c r="F60" s="12">
        <f>IF(OR(C60="",D60=""),"",ROUND(MOD(D60-C60,1)*24,2))</f>
        <v/>
      </c>
      <c r="G60" s="7" t="n"/>
      <c r="H60" s="17">
        <f>IF(OR(A60="",B60=""),"",IF(COUNTIFS('Lançamentos Diários'!$A$5:$A$504,A60,'Lançamentos Diários'!$B$5:$B$504,B60)&gt;0,"OK","FALTA LANÇAMENTO"))</f>
        <v/>
      </c>
    </row>
    <row r="61">
      <c r="A61" s="14" t="n"/>
      <c r="B61" s="7" t="n"/>
      <c r="C61" s="15" t="n"/>
      <c r="D61" s="15" t="n"/>
      <c r="E61" s="7" t="n"/>
      <c r="F61" s="12">
        <f>IF(OR(C61="",D61=""),"",ROUND(MOD(D61-C61,1)*24,2))</f>
        <v/>
      </c>
      <c r="G61" s="7" t="n"/>
      <c r="H61" s="17">
        <f>IF(OR(A61="",B61=""),"",IF(COUNTIFS('Lançamentos Diários'!$A$5:$A$504,A61,'Lançamentos Diários'!$B$5:$B$504,B61)&gt;0,"OK","FALTA LANÇAMENTO"))</f>
        <v/>
      </c>
    </row>
    <row r="62">
      <c r="A62" s="14" t="n"/>
      <c r="B62" s="7" t="n"/>
      <c r="C62" s="15" t="n"/>
      <c r="D62" s="15" t="n"/>
      <c r="E62" s="7" t="n"/>
      <c r="F62" s="12">
        <f>IF(OR(C62="",D62=""),"",ROUND(MOD(D62-C62,1)*24,2))</f>
        <v/>
      </c>
      <c r="G62" s="7" t="n"/>
      <c r="H62" s="17">
        <f>IF(OR(A62="",B62=""),"",IF(COUNTIFS('Lançamentos Diários'!$A$5:$A$504,A62,'Lançamentos Diários'!$B$5:$B$504,B62)&gt;0,"OK","FALTA LANÇAMENTO"))</f>
        <v/>
      </c>
    </row>
    <row r="63">
      <c r="A63" s="14" t="n"/>
      <c r="B63" s="7" t="n"/>
      <c r="C63" s="15" t="n"/>
      <c r="D63" s="15" t="n"/>
      <c r="E63" s="7" t="n"/>
      <c r="F63" s="12">
        <f>IF(OR(C63="",D63=""),"",ROUND(MOD(D63-C63,1)*24,2))</f>
        <v/>
      </c>
      <c r="G63" s="7" t="n"/>
      <c r="H63" s="17">
        <f>IF(OR(A63="",B63=""),"",IF(COUNTIFS('Lançamentos Diários'!$A$5:$A$504,A63,'Lançamentos Diários'!$B$5:$B$504,B63)&gt;0,"OK","FALTA LANÇAMENTO"))</f>
        <v/>
      </c>
    </row>
    <row r="64">
      <c r="A64" s="14" t="n"/>
      <c r="B64" s="7" t="n"/>
      <c r="C64" s="15" t="n"/>
      <c r="D64" s="15" t="n"/>
      <c r="E64" s="7" t="n"/>
      <c r="F64" s="12">
        <f>IF(OR(C64="",D64=""),"",ROUND(MOD(D64-C64,1)*24,2))</f>
        <v/>
      </c>
      <c r="G64" s="7" t="n"/>
      <c r="H64" s="17">
        <f>IF(OR(A64="",B64=""),"",IF(COUNTIFS('Lançamentos Diários'!$A$5:$A$504,A64,'Lançamentos Diários'!$B$5:$B$504,B64)&gt;0,"OK","FALTA LANÇAMENTO"))</f>
        <v/>
      </c>
    </row>
    <row r="65">
      <c r="A65" s="14" t="n"/>
      <c r="B65" s="7" t="n"/>
      <c r="C65" s="15" t="n"/>
      <c r="D65" s="15" t="n"/>
      <c r="E65" s="7" t="n"/>
      <c r="F65" s="12">
        <f>IF(OR(C65="",D65=""),"",ROUND(MOD(D65-C65,1)*24,2))</f>
        <v/>
      </c>
      <c r="G65" s="7" t="n"/>
      <c r="H65" s="17">
        <f>IF(OR(A65="",B65=""),"",IF(COUNTIFS('Lançamentos Diários'!$A$5:$A$504,A65,'Lançamentos Diários'!$B$5:$B$504,B65)&gt;0,"OK","FALTA LANÇAMENTO"))</f>
        <v/>
      </c>
    </row>
    <row r="66">
      <c r="A66" s="14" t="n"/>
      <c r="B66" s="7" t="n"/>
      <c r="C66" s="15" t="n"/>
      <c r="D66" s="15" t="n"/>
      <c r="E66" s="7" t="n"/>
      <c r="F66" s="12">
        <f>IF(OR(C66="",D66=""),"",ROUND(MOD(D66-C66,1)*24,2))</f>
        <v/>
      </c>
      <c r="G66" s="7" t="n"/>
      <c r="H66" s="17">
        <f>IF(OR(A66="",B66=""),"",IF(COUNTIFS('Lançamentos Diários'!$A$5:$A$504,A66,'Lançamentos Diários'!$B$5:$B$504,B66)&gt;0,"OK","FALTA LANÇAMENTO"))</f>
        <v/>
      </c>
    </row>
    <row r="67">
      <c r="A67" s="14" t="n"/>
      <c r="B67" s="7" t="n"/>
      <c r="C67" s="15" t="n"/>
      <c r="D67" s="15" t="n"/>
      <c r="E67" s="7" t="n"/>
      <c r="F67" s="12">
        <f>IF(OR(C67="",D67=""),"",ROUND(MOD(D67-C67,1)*24,2))</f>
        <v/>
      </c>
      <c r="G67" s="7" t="n"/>
      <c r="H67" s="17">
        <f>IF(OR(A67="",B67=""),"",IF(COUNTIFS('Lançamentos Diários'!$A$5:$A$504,A67,'Lançamentos Diários'!$B$5:$B$504,B67)&gt;0,"OK","FALTA LANÇAMENTO"))</f>
        <v/>
      </c>
    </row>
    <row r="68">
      <c r="A68" s="14" t="n"/>
      <c r="B68" s="7" t="n"/>
      <c r="C68" s="15" t="n"/>
      <c r="D68" s="15" t="n"/>
      <c r="E68" s="7" t="n"/>
      <c r="F68" s="12">
        <f>IF(OR(C68="",D68=""),"",ROUND(MOD(D68-C68,1)*24,2))</f>
        <v/>
      </c>
      <c r="G68" s="7" t="n"/>
      <c r="H68" s="17">
        <f>IF(OR(A68="",B68=""),"",IF(COUNTIFS('Lançamentos Diários'!$A$5:$A$504,A68,'Lançamentos Diários'!$B$5:$B$504,B68)&gt;0,"OK","FALTA LANÇAMENTO"))</f>
        <v/>
      </c>
    </row>
    <row r="69">
      <c r="A69" s="14" t="n"/>
      <c r="B69" s="7" t="n"/>
      <c r="C69" s="15" t="n"/>
      <c r="D69" s="15" t="n"/>
      <c r="E69" s="7" t="n"/>
      <c r="F69" s="12">
        <f>IF(OR(C69="",D69=""),"",ROUND(MOD(D69-C69,1)*24,2))</f>
        <v/>
      </c>
      <c r="G69" s="7" t="n"/>
      <c r="H69" s="17">
        <f>IF(OR(A69="",B69=""),"",IF(COUNTIFS('Lançamentos Diários'!$A$5:$A$504,A69,'Lançamentos Diários'!$B$5:$B$504,B69)&gt;0,"OK","FALTA LANÇAMENTO"))</f>
        <v/>
      </c>
    </row>
    <row r="70">
      <c r="A70" s="14" t="n"/>
      <c r="B70" s="7" t="n"/>
      <c r="C70" s="15" t="n"/>
      <c r="D70" s="15" t="n"/>
      <c r="E70" s="7" t="n"/>
      <c r="F70" s="12">
        <f>IF(OR(C70="",D70=""),"",ROUND(MOD(D70-C70,1)*24,2))</f>
        <v/>
      </c>
      <c r="G70" s="7" t="n"/>
      <c r="H70" s="17">
        <f>IF(OR(A70="",B70=""),"",IF(COUNTIFS('Lançamentos Diários'!$A$5:$A$504,A70,'Lançamentos Diários'!$B$5:$B$504,B70)&gt;0,"OK","FALTA LANÇAMENTO"))</f>
        <v/>
      </c>
    </row>
    <row r="71">
      <c r="A71" s="14" t="n"/>
      <c r="B71" s="7" t="n"/>
      <c r="C71" s="15" t="n"/>
      <c r="D71" s="15" t="n"/>
      <c r="E71" s="7" t="n"/>
      <c r="F71" s="12">
        <f>IF(OR(C71="",D71=""),"",ROUND(MOD(D71-C71,1)*24,2))</f>
        <v/>
      </c>
      <c r="G71" s="7" t="n"/>
      <c r="H71" s="17">
        <f>IF(OR(A71="",B71=""),"",IF(COUNTIFS('Lançamentos Diários'!$A$5:$A$504,A71,'Lançamentos Diários'!$B$5:$B$504,B71)&gt;0,"OK","FALTA LANÇAMENTO"))</f>
        <v/>
      </c>
    </row>
    <row r="72">
      <c r="A72" s="14" t="n"/>
      <c r="B72" s="7" t="n"/>
      <c r="C72" s="15" t="n"/>
      <c r="D72" s="15" t="n"/>
      <c r="E72" s="7" t="n"/>
      <c r="F72" s="12">
        <f>IF(OR(C72="",D72=""),"",ROUND(MOD(D72-C72,1)*24,2))</f>
        <v/>
      </c>
      <c r="G72" s="7" t="n"/>
      <c r="H72" s="17">
        <f>IF(OR(A72="",B72=""),"",IF(COUNTIFS('Lançamentos Diários'!$A$5:$A$504,A72,'Lançamentos Diários'!$B$5:$B$504,B72)&gt;0,"OK","FALTA LANÇAMENTO"))</f>
        <v/>
      </c>
    </row>
    <row r="73">
      <c r="A73" s="14" t="n"/>
      <c r="B73" s="7" t="n"/>
      <c r="C73" s="15" t="n"/>
      <c r="D73" s="15" t="n"/>
      <c r="E73" s="7" t="n"/>
      <c r="F73" s="12">
        <f>IF(OR(C73="",D73=""),"",ROUND(MOD(D73-C73,1)*24,2))</f>
        <v/>
      </c>
      <c r="G73" s="7" t="n"/>
      <c r="H73" s="17">
        <f>IF(OR(A73="",B73=""),"",IF(COUNTIFS('Lançamentos Diários'!$A$5:$A$504,A73,'Lançamentos Diários'!$B$5:$B$504,B73)&gt;0,"OK","FALTA LANÇAMENTO"))</f>
        <v/>
      </c>
    </row>
    <row r="74">
      <c r="A74" s="14" t="n"/>
      <c r="B74" s="7" t="n"/>
      <c r="C74" s="15" t="n"/>
      <c r="D74" s="15" t="n"/>
      <c r="E74" s="7" t="n"/>
      <c r="F74" s="12">
        <f>IF(OR(C74="",D74=""),"",ROUND(MOD(D74-C74,1)*24,2))</f>
        <v/>
      </c>
      <c r="G74" s="7" t="n"/>
      <c r="H74" s="17">
        <f>IF(OR(A74="",B74=""),"",IF(COUNTIFS('Lançamentos Diários'!$A$5:$A$504,A74,'Lançamentos Diários'!$B$5:$B$504,B74)&gt;0,"OK","FALTA LANÇAMENTO"))</f>
        <v/>
      </c>
    </row>
    <row r="75">
      <c r="A75" s="14" t="n"/>
      <c r="B75" s="7" t="n"/>
      <c r="C75" s="15" t="n"/>
      <c r="D75" s="15" t="n"/>
      <c r="E75" s="7" t="n"/>
      <c r="F75" s="12">
        <f>IF(OR(C75="",D75=""),"",ROUND(MOD(D75-C75,1)*24,2))</f>
        <v/>
      </c>
      <c r="G75" s="7" t="n"/>
      <c r="H75" s="17">
        <f>IF(OR(A75="",B75=""),"",IF(COUNTIFS('Lançamentos Diários'!$A$5:$A$504,A75,'Lançamentos Diários'!$B$5:$B$504,B75)&gt;0,"OK","FALTA LANÇAMENTO"))</f>
        <v/>
      </c>
    </row>
    <row r="76">
      <c r="A76" s="14" t="n"/>
      <c r="B76" s="7" t="n"/>
      <c r="C76" s="15" t="n"/>
      <c r="D76" s="15" t="n"/>
      <c r="E76" s="7" t="n"/>
      <c r="F76" s="12">
        <f>IF(OR(C76="",D76=""),"",ROUND(MOD(D76-C76,1)*24,2))</f>
        <v/>
      </c>
      <c r="G76" s="7" t="n"/>
      <c r="H76" s="17">
        <f>IF(OR(A76="",B76=""),"",IF(COUNTIFS('Lançamentos Diários'!$A$5:$A$504,A76,'Lançamentos Diários'!$B$5:$B$504,B76)&gt;0,"OK","FALTA LANÇAMENTO"))</f>
        <v/>
      </c>
    </row>
    <row r="77">
      <c r="A77" s="14" t="n"/>
      <c r="B77" s="7" t="n"/>
      <c r="C77" s="15" t="n"/>
      <c r="D77" s="15" t="n"/>
      <c r="E77" s="7" t="n"/>
      <c r="F77" s="12">
        <f>IF(OR(C77="",D77=""),"",ROUND(MOD(D77-C77,1)*24,2))</f>
        <v/>
      </c>
      <c r="G77" s="7" t="n"/>
      <c r="H77" s="17">
        <f>IF(OR(A77="",B77=""),"",IF(COUNTIFS('Lançamentos Diários'!$A$5:$A$504,A77,'Lançamentos Diários'!$B$5:$B$504,B77)&gt;0,"OK","FALTA LANÇAMENTO"))</f>
        <v/>
      </c>
    </row>
    <row r="78">
      <c r="A78" s="14" t="n"/>
      <c r="B78" s="7" t="n"/>
      <c r="C78" s="15" t="n"/>
      <c r="D78" s="15" t="n"/>
      <c r="E78" s="7" t="n"/>
      <c r="F78" s="12">
        <f>IF(OR(C78="",D78=""),"",ROUND(MOD(D78-C78,1)*24,2))</f>
        <v/>
      </c>
      <c r="G78" s="7" t="n"/>
      <c r="H78" s="17">
        <f>IF(OR(A78="",B78=""),"",IF(COUNTIFS('Lançamentos Diários'!$A$5:$A$504,A78,'Lançamentos Diários'!$B$5:$B$504,B78)&gt;0,"OK","FALTA LANÇAMENTO"))</f>
        <v/>
      </c>
    </row>
    <row r="79">
      <c r="A79" s="14" t="n"/>
      <c r="B79" s="7" t="n"/>
      <c r="C79" s="15" t="n"/>
      <c r="D79" s="15" t="n"/>
      <c r="E79" s="7" t="n"/>
      <c r="F79" s="12">
        <f>IF(OR(C79="",D79=""),"",ROUND(MOD(D79-C79,1)*24,2))</f>
        <v/>
      </c>
      <c r="G79" s="7" t="n"/>
      <c r="H79" s="17">
        <f>IF(OR(A79="",B79=""),"",IF(COUNTIFS('Lançamentos Diários'!$A$5:$A$504,A79,'Lançamentos Diários'!$B$5:$B$504,B79)&gt;0,"OK","FALTA LANÇAMENTO"))</f>
        <v/>
      </c>
    </row>
    <row r="80">
      <c r="A80" s="14" t="n"/>
      <c r="B80" s="7" t="n"/>
      <c r="C80" s="15" t="n"/>
      <c r="D80" s="15" t="n"/>
      <c r="E80" s="7" t="n"/>
      <c r="F80" s="12">
        <f>IF(OR(C80="",D80=""),"",ROUND(MOD(D80-C80,1)*24,2))</f>
        <v/>
      </c>
      <c r="G80" s="7" t="n"/>
      <c r="H80" s="17">
        <f>IF(OR(A80="",B80=""),"",IF(COUNTIFS('Lançamentos Diários'!$A$5:$A$504,A80,'Lançamentos Diários'!$B$5:$B$504,B80)&gt;0,"OK","FALTA LANÇAMENTO"))</f>
        <v/>
      </c>
    </row>
    <row r="81">
      <c r="A81" s="14" t="n"/>
      <c r="B81" s="7" t="n"/>
      <c r="C81" s="15" t="n"/>
      <c r="D81" s="15" t="n"/>
      <c r="E81" s="7" t="n"/>
      <c r="F81" s="12">
        <f>IF(OR(C81="",D81=""),"",ROUND(MOD(D81-C81,1)*24,2))</f>
        <v/>
      </c>
      <c r="G81" s="7" t="n"/>
      <c r="H81" s="17">
        <f>IF(OR(A81="",B81=""),"",IF(COUNTIFS('Lançamentos Diários'!$A$5:$A$504,A81,'Lançamentos Diários'!$B$5:$B$504,B81)&gt;0,"OK","FALTA LANÇAMENTO"))</f>
        <v/>
      </c>
    </row>
    <row r="82">
      <c r="A82" s="14" t="n"/>
      <c r="B82" s="7" t="n"/>
      <c r="C82" s="15" t="n"/>
      <c r="D82" s="15" t="n"/>
      <c r="E82" s="7" t="n"/>
      <c r="F82" s="12">
        <f>IF(OR(C82="",D82=""),"",ROUND(MOD(D82-C82,1)*24,2))</f>
        <v/>
      </c>
      <c r="G82" s="7" t="n"/>
      <c r="H82" s="17">
        <f>IF(OR(A82="",B82=""),"",IF(COUNTIFS('Lançamentos Diários'!$A$5:$A$504,A82,'Lançamentos Diários'!$B$5:$B$504,B82)&gt;0,"OK","FALTA LANÇAMENTO"))</f>
        <v/>
      </c>
    </row>
    <row r="83">
      <c r="A83" s="14" t="n"/>
      <c r="B83" s="7" t="n"/>
      <c r="C83" s="15" t="n"/>
      <c r="D83" s="15" t="n"/>
      <c r="E83" s="7" t="n"/>
      <c r="F83" s="12">
        <f>IF(OR(C83="",D83=""),"",ROUND(MOD(D83-C83,1)*24,2))</f>
        <v/>
      </c>
      <c r="G83" s="7" t="n"/>
      <c r="H83" s="17">
        <f>IF(OR(A83="",B83=""),"",IF(COUNTIFS('Lançamentos Diários'!$A$5:$A$504,A83,'Lançamentos Diários'!$B$5:$B$504,B83)&gt;0,"OK","FALTA LANÇAMENTO"))</f>
        <v/>
      </c>
    </row>
    <row r="84">
      <c r="A84" s="14" t="n"/>
      <c r="B84" s="7" t="n"/>
      <c r="C84" s="15" t="n"/>
      <c r="D84" s="15" t="n"/>
      <c r="E84" s="7" t="n"/>
      <c r="F84" s="12">
        <f>IF(OR(C84="",D84=""),"",ROUND(MOD(D84-C84,1)*24,2))</f>
        <v/>
      </c>
      <c r="G84" s="7" t="n"/>
      <c r="H84" s="17">
        <f>IF(OR(A84="",B84=""),"",IF(COUNTIFS('Lançamentos Diários'!$A$5:$A$504,A84,'Lançamentos Diários'!$B$5:$B$504,B84)&gt;0,"OK","FALTA LANÇAMENTO"))</f>
        <v/>
      </c>
    </row>
    <row r="85">
      <c r="A85" s="14" t="n"/>
      <c r="B85" s="7" t="n"/>
      <c r="C85" s="15" t="n"/>
      <c r="D85" s="15" t="n"/>
      <c r="E85" s="7" t="n"/>
      <c r="F85" s="12">
        <f>IF(OR(C85="",D85=""),"",ROUND(MOD(D85-C85,1)*24,2))</f>
        <v/>
      </c>
      <c r="G85" s="7" t="n"/>
      <c r="H85" s="17">
        <f>IF(OR(A85="",B85=""),"",IF(COUNTIFS('Lançamentos Diários'!$A$5:$A$504,A85,'Lançamentos Diários'!$B$5:$B$504,B85)&gt;0,"OK","FALTA LANÇAMENTO"))</f>
        <v/>
      </c>
    </row>
    <row r="86">
      <c r="A86" s="14" t="n"/>
      <c r="B86" s="7" t="n"/>
      <c r="C86" s="15" t="n"/>
      <c r="D86" s="15" t="n"/>
      <c r="E86" s="7" t="n"/>
      <c r="F86" s="12">
        <f>IF(OR(C86="",D86=""),"",ROUND(MOD(D86-C86,1)*24,2))</f>
        <v/>
      </c>
      <c r="G86" s="7" t="n"/>
      <c r="H86" s="17">
        <f>IF(OR(A86="",B86=""),"",IF(COUNTIFS('Lançamentos Diários'!$A$5:$A$504,A86,'Lançamentos Diários'!$B$5:$B$504,B86)&gt;0,"OK","FALTA LANÇAMENTO"))</f>
        <v/>
      </c>
    </row>
    <row r="87">
      <c r="A87" s="14" t="n"/>
      <c r="B87" s="7" t="n"/>
      <c r="C87" s="15" t="n"/>
      <c r="D87" s="15" t="n"/>
      <c r="E87" s="7" t="n"/>
      <c r="F87" s="12">
        <f>IF(OR(C87="",D87=""),"",ROUND(MOD(D87-C87,1)*24,2))</f>
        <v/>
      </c>
      <c r="G87" s="7" t="n"/>
      <c r="H87" s="17">
        <f>IF(OR(A87="",B87=""),"",IF(COUNTIFS('Lançamentos Diários'!$A$5:$A$504,A87,'Lançamentos Diários'!$B$5:$B$504,B87)&gt;0,"OK","FALTA LANÇAMENTO"))</f>
        <v/>
      </c>
    </row>
    <row r="88">
      <c r="A88" s="14" t="n"/>
      <c r="B88" s="7" t="n"/>
      <c r="C88" s="15" t="n"/>
      <c r="D88" s="15" t="n"/>
      <c r="E88" s="7" t="n"/>
      <c r="F88" s="12">
        <f>IF(OR(C88="",D88=""),"",ROUND(MOD(D88-C88,1)*24,2))</f>
        <v/>
      </c>
      <c r="G88" s="7" t="n"/>
      <c r="H88" s="17">
        <f>IF(OR(A88="",B88=""),"",IF(COUNTIFS('Lançamentos Diários'!$A$5:$A$504,A88,'Lançamentos Diários'!$B$5:$B$504,B88)&gt;0,"OK","FALTA LANÇAMENTO"))</f>
        <v/>
      </c>
    </row>
    <row r="89">
      <c r="A89" s="14" t="n"/>
      <c r="B89" s="7" t="n"/>
      <c r="C89" s="15" t="n"/>
      <c r="D89" s="15" t="n"/>
      <c r="E89" s="7" t="n"/>
      <c r="F89" s="12">
        <f>IF(OR(C89="",D89=""),"",ROUND(MOD(D89-C89,1)*24,2))</f>
        <v/>
      </c>
      <c r="G89" s="7" t="n"/>
      <c r="H89" s="17">
        <f>IF(OR(A89="",B89=""),"",IF(COUNTIFS('Lançamentos Diários'!$A$5:$A$504,A89,'Lançamentos Diários'!$B$5:$B$504,B89)&gt;0,"OK","FALTA LANÇAMENTO"))</f>
        <v/>
      </c>
    </row>
    <row r="90">
      <c r="A90" s="14" t="n"/>
      <c r="B90" s="7" t="n"/>
      <c r="C90" s="15" t="n"/>
      <c r="D90" s="15" t="n"/>
      <c r="E90" s="7" t="n"/>
      <c r="F90" s="12">
        <f>IF(OR(C90="",D90=""),"",ROUND(MOD(D90-C90,1)*24,2))</f>
        <v/>
      </c>
      <c r="G90" s="7" t="n"/>
      <c r="H90" s="17">
        <f>IF(OR(A90="",B90=""),"",IF(COUNTIFS('Lançamentos Diários'!$A$5:$A$504,A90,'Lançamentos Diários'!$B$5:$B$504,B90)&gt;0,"OK","FALTA LANÇAMENTO"))</f>
        <v/>
      </c>
    </row>
    <row r="91">
      <c r="A91" s="14" t="n"/>
      <c r="B91" s="7" t="n"/>
      <c r="C91" s="15" t="n"/>
      <c r="D91" s="15" t="n"/>
      <c r="E91" s="7" t="n"/>
      <c r="F91" s="12">
        <f>IF(OR(C91="",D91=""),"",ROUND(MOD(D91-C91,1)*24,2))</f>
        <v/>
      </c>
      <c r="G91" s="7" t="n"/>
      <c r="H91" s="17">
        <f>IF(OR(A91="",B91=""),"",IF(COUNTIFS('Lançamentos Diários'!$A$5:$A$504,A91,'Lançamentos Diários'!$B$5:$B$504,B91)&gt;0,"OK","FALTA LANÇAMENTO"))</f>
        <v/>
      </c>
    </row>
    <row r="92">
      <c r="A92" s="14" t="n"/>
      <c r="B92" s="7" t="n"/>
      <c r="C92" s="15" t="n"/>
      <c r="D92" s="15" t="n"/>
      <c r="E92" s="7" t="n"/>
      <c r="F92" s="12">
        <f>IF(OR(C92="",D92=""),"",ROUND(MOD(D92-C92,1)*24,2))</f>
        <v/>
      </c>
      <c r="G92" s="7" t="n"/>
      <c r="H92" s="17">
        <f>IF(OR(A92="",B92=""),"",IF(COUNTIFS('Lançamentos Diários'!$A$5:$A$504,A92,'Lançamentos Diários'!$B$5:$B$504,B92)&gt;0,"OK","FALTA LANÇAMENTO"))</f>
        <v/>
      </c>
    </row>
    <row r="93">
      <c r="A93" s="14" t="n"/>
      <c r="B93" s="7" t="n"/>
      <c r="C93" s="15" t="n"/>
      <c r="D93" s="15" t="n"/>
      <c r="E93" s="7" t="n"/>
      <c r="F93" s="12">
        <f>IF(OR(C93="",D93=""),"",ROUND(MOD(D93-C93,1)*24,2))</f>
        <v/>
      </c>
      <c r="G93" s="7" t="n"/>
      <c r="H93" s="17">
        <f>IF(OR(A93="",B93=""),"",IF(COUNTIFS('Lançamentos Diários'!$A$5:$A$504,A93,'Lançamentos Diários'!$B$5:$B$504,B93)&gt;0,"OK","FALTA LANÇAMENTO"))</f>
        <v/>
      </c>
    </row>
    <row r="94">
      <c r="A94" s="14" t="n"/>
      <c r="B94" s="7" t="n"/>
      <c r="C94" s="15" t="n"/>
      <c r="D94" s="15" t="n"/>
      <c r="E94" s="7" t="n"/>
      <c r="F94" s="12">
        <f>IF(OR(C94="",D94=""),"",ROUND(MOD(D94-C94,1)*24,2))</f>
        <v/>
      </c>
      <c r="G94" s="7" t="n"/>
      <c r="H94" s="17">
        <f>IF(OR(A94="",B94=""),"",IF(COUNTIFS('Lançamentos Diários'!$A$5:$A$504,A94,'Lançamentos Diários'!$B$5:$B$504,B94)&gt;0,"OK","FALTA LANÇAMENTO"))</f>
        <v/>
      </c>
    </row>
    <row r="95">
      <c r="A95" s="14" t="n"/>
      <c r="B95" s="7" t="n"/>
      <c r="C95" s="15" t="n"/>
      <c r="D95" s="15" t="n"/>
      <c r="E95" s="7" t="n"/>
      <c r="F95" s="12">
        <f>IF(OR(C95="",D95=""),"",ROUND(MOD(D95-C95,1)*24,2))</f>
        <v/>
      </c>
      <c r="G95" s="7" t="n"/>
      <c r="H95" s="17">
        <f>IF(OR(A95="",B95=""),"",IF(COUNTIFS('Lançamentos Diários'!$A$5:$A$504,A95,'Lançamentos Diários'!$B$5:$B$504,B95)&gt;0,"OK","FALTA LANÇAMENTO"))</f>
        <v/>
      </c>
    </row>
    <row r="96">
      <c r="A96" s="14" t="n"/>
      <c r="B96" s="7" t="n"/>
      <c r="C96" s="15" t="n"/>
      <c r="D96" s="15" t="n"/>
      <c r="E96" s="7" t="n"/>
      <c r="F96" s="12">
        <f>IF(OR(C96="",D96=""),"",ROUND(MOD(D96-C96,1)*24,2))</f>
        <v/>
      </c>
      <c r="G96" s="7" t="n"/>
      <c r="H96" s="17">
        <f>IF(OR(A96="",B96=""),"",IF(COUNTIFS('Lançamentos Diários'!$A$5:$A$504,A96,'Lançamentos Diários'!$B$5:$B$504,B96)&gt;0,"OK","FALTA LANÇAMENTO"))</f>
        <v/>
      </c>
    </row>
    <row r="97">
      <c r="A97" s="14" t="n"/>
      <c r="B97" s="7" t="n"/>
      <c r="C97" s="15" t="n"/>
      <c r="D97" s="15" t="n"/>
      <c r="E97" s="7" t="n"/>
      <c r="F97" s="12">
        <f>IF(OR(C97="",D97=""),"",ROUND(MOD(D97-C97,1)*24,2))</f>
        <v/>
      </c>
      <c r="G97" s="7" t="n"/>
      <c r="H97" s="17">
        <f>IF(OR(A97="",B97=""),"",IF(COUNTIFS('Lançamentos Diários'!$A$5:$A$504,A97,'Lançamentos Diários'!$B$5:$B$504,B97)&gt;0,"OK","FALTA LANÇAMENTO"))</f>
        <v/>
      </c>
    </row>
    <row r="98">
      <c r="A98" s="14" t="n"/>
      <c r="B98" s="7" t="n"/>
      <c r="C98" s="15" t="n"/>
      <c r="D98" s="15" t="n"/>
      <c r="E98" s="7" t="n"/>
      <c r="F98" s="12">
        <f>IF(OR(C98="",D98=""),"",ROUND(MOD(D98-C98,1)*24,2))</f>
        <v/>
      </c>
      <c r="G98" s="7" t="n"/>
      <c r="H98" s="17">
        <f>IF(OR(A98="",B98=""),"",IF(COUNTIFS('Lançamentos Diários'!$A$5:$A$504,A98,'Lançamentos Diários'!$B$5:$B$504,B98)&gt;0,"OK","FALTA LANÇAMENTO"))</f>
        <v/>
      </c>
    </row>
    <row r="99">
      <c r="A99" s="14" t="n"/>
      <c r="B99" s="7" t="n"/>
      <c r="C99" s="15" t="n"/>
      <c r="D99" s="15" t="n"/>
      <c r="E99" s="7" t="n"/>
      <c r="F99" s="12">
        <f>IF(OR(C99="",D99=""),"",ROUND(MOD(D99-C99,1)*24,2))</f>
        <v/>
      </c>
      <c r="G99" s="7" t="n"/>
      <c r="H99" s="17">
        <f>IF(OR(A99="",B99=""),"",IF(COUNTIFS('Lançamentos Diários'!$A$5:$A$504,A99,'Lançamentos Diários'!$B$5:$B$504,B99)&gt;0,"OK","FALTA LANÇAMENTO"))</f>
        <v/>
      </c>
    </row>
    <row r="100">
      <c r="A100" s="14" t="n"/>
      <c r="B100" s="7" t="n"/>
      <c r="C100" s="15" t="n"/>
      <c r="D100" s="15" t="n"/>
      <c r="E100" s="7" t="n"/>
      <c r="F100" s="12">
        <f>IF(OR(C100="",D100=""),"",ROUND(MOD(D100-C100,1)*24,2))</f>
        <v/>
      </c>
      <c r="G100" s="7" t="n"/>
      <c r="H100" s="17">
        <f>IF(OR(A100="",B100=""),"",IF(COUNTIFS('Lançamentos Diários'!$A$5:$A$504,A100,'Lançamentos Diários'!$B$5:$B$504,B100)&gt;0,"OK","FALTA LANÇAMENTO"))</f>
        <v/>
      </c>
    </row>
    <row r="101">
      <c r="A101" s="14" t="n"/>
      <c r="B101" s="7" t="n"/>
      <c r="C101" s="15" t="n"/>
      <c r="D101" s="15" t="n"/>
      <c r="E101" s="7" t="n"/>
      <c r="F101" s="12">
        <f>IF(OR(C101="",D101=""),"",ROUND(MOD(D101-C101,1)*24,2))</f>
        <v/>
      </c>
      <c r="G101" s="7" t="n"/>
      <c r="H101" s="17">
        <f>IF(OR(A101="",B101=""),"",IF(COUNTIFS('Lançamentos Diários'!$A$5:$A$504,A101,'Lançamentos Diários'!$B$5:$B$504,B101)&gt;0,"OK","FALTA LANÇAMENTO"))</f>
        <v/>
      </c>
    </row>
    <row r="102">
      <c r="A102" s="14" t="n"/>
      <c r="B102" s="7" t="n"/>
      <c r="C102" s="15" t="n"/>
      <c r="D102" s="15" t="n"/>
      <c r="E102" s="7" t="n"/>
      <c r="F102" s="12">
        <f>IF(OR(C102="",D102=""),"",ROUND(MOD(D102-C102,1)*24,2))</f>
        <v/>
      </c>
      <c r="G102" s="7" t="n"/>
      <c r="H102" s="17">
        <f>IF(OR(A102="",B102=""),"",IF(COUNTIFS('Lançamentos Diários'!$A$5:$A$504,A102,'Lançamentos Diários'!$B$5:$B$504,B102)&gt;0,"OK","FALTA LANÇAMENTO"))</f>
        <v/>
      </c>
    </row>
    <row r="103">
      <c r="A103" s="14" t="n"/>
      <c r="B103" s="7" t="n"/>
      <c r="C103" s="15" t="n"/>
      <c r="D103" s="15" t="n"/>
      <c r="E103" s="7" t="n"/>
      <c r="F103" s="12">
        <f>IF(OR(C103="",D103=""),"",ROUND(MOD(D103-C103,1)*24,2))</f>
        <v/>
      </c>
      <c r="G103" s="7" t="n"/>
      <c r="H103" s="17">
        <f>IF(OR(A103="",B103=""),"",IF(COUNTIFS('Lançamentos Diários'!$A$5:$A$504,A103,'Lançamentos Diários'!$B$5:$B$504,B103)&gt;0,"OK","FALTA LANÇAMENTO"))</f>
        <v/>
      </c>
    </row>
    <row r="104">
      <c r="A104" s="14" t="n"/>
      <c r="B104" s="7" t="n"/>
      <c r="C104" s="15" t="n"/>
      <c r="D104" s="15" t="n"/>
      <c r="E104" s="7" t="n"/>
      <c r="F104" s="12">
        <f>IF(OR(C104="",D104=""),"",ROUND(MOD(D104-C104,1)*24,2))</f>
        <v/>
      </c>
      <c r="G104" s="7" t="n"/>
      <c r="H104" s="17">
        <f>IF(OR(A104="",B104=""),"",IF(COUNTIFS('Lançamentos Diários'!$A$5:$A$504,A104,'Lançamentos Diários'!$B$5:$B$504,B104)&gt;0,"OK","FALTA LANÇAMENTO"))</f>
        <v/>
      </c>
    </row>
    <row r="105">
      <c r="A105" s="14" t="n"/>
      <c r="B105" s="7" t="n"/>
      <c r="C105" s="15" t="n"/>
      <c r="D105" s="15" t="n"/>
      <c r="E105" s="7" t="n"/>
      <c r="F105" s="12">
        <f>IF(OR(C105="",D105=""),"",ROUND(MOD(D105-C105,1)*24,2))</f>
        <v/>
      </c>
      <c r="G105" s="7" t="n"/>
      <c r="H105" s="17">
        <f>IF(OR(A105="",B105=""),"",IF(COUNTIFS('Lançamentos Diários'!$A$5:$A$504,A105,'Lançamentos Diários'!$B$5:$B$504,B105)&gt;0,"OK","FALTA LANÇAMENTO"))</f>
        <v/>
      </c>
    </row>
    <row r="106">
      <c r="A106" s="14" t="n"/>
      <c r="B106" s="7" t="n"/>
      <c r="C106" s="15" t="n"/>
      <c r="D106" s="15" t="n"/>
      <c r="E106" s="7" t="n"/>
      <c r="F106" s="12">
        <f>IF(OR(C106="",D106=""),"",ROUND(MOD(D106-C106,1)*24,2))</f>
        <v/>
      </c>
      <c r="G106" s="7" t="n"/>
      <c r="H106" s="17">
        <f>IF(OR(A106="",B106=""),"",IF(COUNTIFS('Lançamentos Diários'!$A$5:$A$504,A106,'Lançamentos Diários'!$B$5:$B$504,B106)&gt;0,"OK","FALTA LANÇAMENTO"))</f>
        <v/>
      </c>
    </row>
    <row r="107">
      <c r="A107" s="14" t="n"/>
      <c r="B107" s="7" t="n"/>
      <c r="C107" s="15" t="n"/>
      <c r="D107" s="15" t="n"/>
      <c r="E107" s="7" t="n"/>
      <c r="F107" s="12">
        <f>IF(OR(C107="",D107=""),"",ROUND(MOD(D107-C107,1)*24,2))</f>
        <v/>
      </c>
      <c r="G107" s="7" t="n"/>
      <c r="H107" s="17">
        <f>IF(OR(A107="",B107=""),"",IF(COUNTIFS('Lançamentos Diários'!$A$5:$A$504,A107,'Lançamentos Diários'!$B$5:$B$504,B107)&gt;0,"OK","FALTA LANÇAMENTO"))</f>
        <v/>
      </c>
    </row>
    <row r="108">
      <c r="A108" s="14" t="n"/>
      <c r="B108" s="7" t="n"/>
      <c r="C108" s="15" t="n"/>
      <c r="D108" s="15" t="n"/>
      <c r="E108" s="7" t="n"/>
      <c r="F108" s="12">
        <f>IF(OR(C108="",D108=""),"",ROUND(MOD(D108-C108,1)*24,2))</f>
        <v/>
      </c>
      <c r="G108" s="7" t="n"/>
      <c r="H108" s="17">
        <f>IF(OR(A108="",B108=""),"",IF(COUNTIFS('Lançamentos Diários'!$A$5:$A$504,A108,'Lançamentos Diários'!$B$5:$B$504,B108)&gt;0,"OK","FALTA LANÇAMENTO"))</f>
        <v/>
      </c>
    </row>
    <row r="109">
      <c r="A109" s="14" t="n"/>
      <c r="B109" s="7" t="n"/>
      <c r="C109" s="15" t="n"/>
      <c r="D109" s="15" t="n"/>
      <c r="E109" s="7" t="n"/>
      <c r="F109" s="12">
        <f>IF(OR(C109="",D109=""),"",ROUND(MOD(D109-C109,1)*24,2))</f>
        <v/>
      </c>
      <c r="G109" s="7" t="n"/>
      <c r="H109" s="17">
        <f>IF(OR(A109="",B109=""),"",IF(COUNTIFS('Lançamentos Diários'!$A$5:$A$504,A109,'Lançamentos Diários'!$B$5:$B$504,B109)&gt;0,"OK","FALTA LANÇAMENTO"))</f>
        <v/>
      </c>
    </row>
    <row r="110">
      <c r="A110" s="14" t="n"/>
      <c r="B110" s="7" t="n"/>
      <c r="C110" s="15" t="n"/>
      <c r="D110" s="15" t="n"/>
      <c r="E110" s="7" t="n"/>
      <c r="F110" s="12">
        <f>IF(OR(C110="",D110=""),"",ROUND(MOD(D110-C110,1)*24,2))</f>
        <v/>
      </c>
      <c r="G110" s="7" t="n"/>
      <c r="H110" s="17">
        <f>IF(OR(A110="",B110=""),"",IF(COUNTIFS('Lançamentos Diários'!$A$5:$A$504,A110,'Lançamentos Diários'!$B$5:$B$504,B110)&gt;0,"OK","FALTA LANÇAMENTO"))</f>
        <v/>
      </c>
    </row>
    <row r="111">
      <c r="A111" s="14" t="n"/>
      <c r="B111" s="7" t="n"/>
      <c r="C111" s="15" t="n"/>
      <c r="D111" s="15" t="n"/>
      <c r="E111" s="7" t="n"/>
      <c r="F111" s="12">
        <f>IF(OR(C111="",D111=""),"",ROUND(MOD(D111-C111,1)*24,2))</f>
        <v/>
      </c>
      <c r="G111" s="7" t="n"/>
      <c r="H111" s="17">
        <f>IF(OR(A111="",B111=""),"",IF(COUNTIFS('Lançamentos Diários'!$A$5:$A$504,A111,'Lançamentos Diários'!$B$5:$B$504,B111)&gt;0,"OK","FALTA LANÇAMENTO"))</f>
        <v/>
      </c>
    </row>
    <row r="112">
      <c r="A112" s="14" t="n"/>
      <c r="B112" s="7" t="n"/>
      <c r="C112" s="15" t="n"/>
      <c r="D112" s="15" t="n"/>
      <c r="E112" s="7" t="n"/>
      <c r="F112" s="12">
        <f>IF(OR(C112="",D112=""),"",ROUND(MOD(D112-C112,1)*24,2))</f>
        <v/>
      </c>
      <c r="G112" s="7" t="n"/>
      <c r="H112" s="17">
        <f>IF(OR(A112="",B112=""),"",IF(COUNTIFS('Lançamentos Diários'!$A$5:$A$504,A112,'Lançamentos Diários'!$B$5:$B$504,B112)&gt;0,"OK","FALTA LANÇAMENTO"))</f>
        <v/>
      </c>
    </row>
    <row r="113">
      <c r="A113" s="14" t="n"/>
      <c r="B113" s="7" t="n"/>
      <c r="C113" s="15" t="n"/>
      <c r="D113" s="15" t="n"/>
      <c r="E113" s="7" t="n"/>
      <c r="F113" s="12">
        <f>IF(OR(C113="",D113=""),"",ROUND(MOD(D113-C113,1)*24,2))</f>
        <v/>
      </c>
      <c r="G113" s="7" t="n"/>
      <c r="H113" s="17">
        <f>IF(OR(A113="",B113=""),"",IF(COUNTIFS('Lançamentos Diários'!$A$5:$A$504,A113,'Lançamentos Diários'!$B$5:$B$504,B113)&gt;0,"OK","FALTA LANÇAMENTO"))</f>
        <v/>
      </c>
    </row>
    <row r="114">
      <c r="A114" s="14" t="n"/>
      <c r="B114" s="7" t="n"/>
      <c r="C114" s="15" t="n"/>
      <c r="D114" s="15" t="n"/>
      <c r="E114" s="7" t="n"/>
      <c r="F114" s="12">
        <f>IF(OR(C114="",D114=""),"",ROUND(MOD(D114-C114,1)*24,2))</f>
        <v/>
      </c>
      <c r="G114" s="7" t="n"/>
      <c r="H114" s="17">
        <f>IF(OR(A114="",B114=""),"",IF(COUNTIFS('Lançamentos Diários'!$A$5:$A$504,A114,'Lançamentos Diários'!$B$5:$B$504,B114)&gt;0,"OK","FALTA LANÇAMENTO"))</f>
        <v/>
      </c>
    </row>
    <row r="115">
      <c r="A115" s="14" t="n"/>
      <c r="B115" s="7" t="n"/>
      <c r="C115" s="15" t="n"/>
      <c r="D115" s="15" t="n"/>
      <c r="E115" s="7" t="n"/>
      <c r="F115" s="12">
        <f>IF(OR(C115="",D115=""),"",ROUND(MOD(D115-C115,1)*24,2))</f>
        <v/>
      </c>
      <c r="G115" s="7" t="n"/>
      <c r="H115" s="17">
        <f>IF(OR(A115="",B115=""),"",IF(COUNTIFS('Lançamentos Diários'!$A$5:$A$504,A115,'Lançamentos Diários'!$B$5:$B$504,B115)&gt;0,"OK","FALTA LANÇAMENTO"))</f>
        <v/>
      </c>
    </row>
    <row r="116">
      <c r="A116" s="14" t="n"/>
      <c r="B116" s="7" t="n"/>
      <c r="C116" s="15" t="n"/>
      <c r="D116" s="15" t="n"/>
      <c r="E116" s="7" t="n"/>
      <c r="F116" s="12">
        <f>IF(OR(C116="",D116=""),"",ROUND(MOD(D116-C116,1)*24,2))</f>
        <v/>
      </c>
      <c r="G116" s="7" t="n"/>
      <c r="H116" s="17">
        <f>IF(OR(A116="",B116=""),"",IF(COUNTIFS('Lançamentos Diários'!$A$5:$A$504,A116,'Lançamentos Diários'!$B$5:$B$504,B116)&gt;0,"OK","FALTA LANÇAMENTO"))</f>
        <v/>
      </c>
    </row>
    <row r="117">
      <c r="A117" s="14" t="n"/>
      <c r="B117" s="7" t="n"/>
      <c r="C117" s="15" t="n"/>
      <c r="D117" s="15" t="n"/>
      <c r="E117" s="7" t="n"/>
      <c r="F117" s="12">
        <f>IF(OR(C117="",D117=""),"",ROUND(MOD(D117-C117,1)*24,2))</f>
        <v/>
      </c>
      <c r="G117" s="7" t="n"/>
      <c r="H117" s="17">
        <f>IF(OR(A117="",B117=""),"",IF(COUNTIFS('Lançamentos Diários'!$A$5:$A$504,A117,'Lançamentos Diários'!$B$5:$B$504,B117)&gt;0,"OK","FALTA LANÇAMENTO"))</f>
        <v/>
      </c>
    </row>
    <row r="118">
      <c r="A118" s="14" t="n"/>
      <c r="B118" s="7" t="n"/>
      <c r="C118" s="15" t="n"/>
      <c r="D118" s="15" t="n"/>
      <c r="E118" s="7" t="n"/>
      <c r="F118" s="12">
        <f>IF(OR(C118="",D118=""),"",ROUND(MOD(D118-C118,1)*24,2))</f>
        <v/>
      </c>
      <c r="G118" s="7" t="n"/>
      <c r="H118" s="17">
        <f>IF(OR(A118="",B118=""),"",IF(COUNTIFS('Lançamentos Diários'!$A$5:$A$504,A118,'Lançamentos Diários'!$B$5:$B$504,B118)&gt;0,"OK","FALTA LANÇAMENTO"))</f>
        <v/>
      </c>
    </row>
    <row r="119">
      <c r="A119" s="14" t="n"/>
      <c r="B119" s="7" t="n"/>
      <c r="C119" s="15" t="n"/>
      <c r="D119" s="15" t="n"/>
      <c r="E119" s="7" t="n"/>
      <c r="F119" s="12">
        <f>IF(OR(C119="",D119=""),"",ROUND(MOD(D119-C119,1)*24,2))</f>
        <v/>
      </c>
      <c r="G119" s="7" t="n"/>
      <c r="H119" s="17">
        <f>IF(OR(A119="",B119=""),"",IF(COUNTIFS('Lançamentos Diários'!$A$5:$A$504,A119,'Lançamentos Diários'!$B$5:$B$504,B119)&gt;0,"OK","FALTA LANÇAMENTO"))</f>
        <v/>
      </c>
    </row>
    <row r="120">
      <c r="A120" s="14" t="n"/>
      <c r="B120" s="7" t="n"/>
      <c r="C120" s="15" t="n"/>
      <c r="D120" s="15" t="n"/>
      <c r="E120" s="7" t="n"/>
      <c r="F120" s="12">
        <f>IF(OR(C120="",D120=""),"",ROUND(MOD(D120-C120,1)*24,2))</f>
        <v/>
      </c>
      <c r="G120" s="7" t="n"/>
      <c r="H120" s="17">
        <f>IF(OR(A120="",B120=""),"",IF(COUNTIFS('Lançamentos Diários'!$A$5:$A$504,A120,'Lançamentos Diários'!$B$5:$B$504,B120)&gt;0,"OK","FALTA LANÇAMENTO"))</f>
        <v/>
      </c>
    </row>
    <row r="121">
      <c r="A121" s="14" t="n"/>
      <c r="B121" s="7" t="n"/>
      <c r="C121" s="15" t="n"/>
      <c r="D121" s="15" t="n"/>
      <c r="E121" s="7" t="n"/>
      <c r="F121" s="12">
        <f>IF(OR(C121="",D121=""),"",ROUND(MOD(D121-C121,1)*24,2))</f>
        <v/>
      </c>
      <c r="G121" s="7" t="n"/>
      <c r="H121" s="17">
        <f>IF(OR(A121="",B121=""),"",IF(COUNTIFS('Lançamentos Diários'!$A$5:$A$504,A121,'Lançamentos Diários'!$B$5:$B$504,B121)&gt;0,"OK","FALTA LANÇAMENTO"))</f>
        <v/>
      </c>
    </row>
    <row r="122">
      <c r="A122" s="14" t="n"/>
      <c r="B122" s="7" t="n"/>
      <c r="C122" s="15" t="n"/>
      <c r="D122" s="15" t="n"/>
      <c r="E122" s="7" t="n"/>
      <c r="F122" s="12">
        <f>IF(OR(C122="",D122=""),"",ROUND(MOD(D122-C122,1)*24,2))</f>
        <v/>
      </c>
      <c r="G122" s="7" t="n"/>
      <c r="H122" s="17">
        <f>IF(OR(A122="",B122=""),"",IF(COUNTIFS('Lançamentos Diários'!$A$5:$A$504,A122,'Lançamentos Diários'!$B$5:$B$504,B122)&gt;0,"OK","FALTA LANÇAMENTO"))</f>
        <v/>
      </c>
    </row>
    <row r="123">
      <c r="A123" s="14" t="n"/>
      <c r="B123" s="7" t="n"/>
      <c r="C123" s="15" t="n"/>
      <c r="D123" s="15" t="n"/>
      <c r="E123" s="7" t="n"/>
      <c r="F123" s="12">
        <f>IF(OR(C123="",D123=""),"",ROUND(MOD(D123-C123,1)*24,2))</f>
        <v/>
      </c>
      <c r="G123" s="7" t="n"/>
      <c r="H123" s="17">
        <f>IF(OR(A123="",B123=""),"",IF(COUNTIFS('Lançamentos Diários'!$A$5:$A$504,A123,'Lançamentos Diários'!$B$5:$B$504,B123)&gt;0,"OK","FALTA LANÇAMENTO"))</f>
        <v/>
      </c>
    </row>
    <row r="124">
      <c r="A124" s="14" t="n"/>
      <c r="B124" s="7" t="n"/>
      <c r="C124" s="15" t="n"/>
      <c r="D124" s="15" t="n"/>
      <c r="E124" s="7" t="n"/>
      <c r="F124" s="12">
        <f>IF(OR(C124="",D124=""),"",ROUND(MOD(D124-C124,1)*24,2))</f>
        <v/>
      </c>
      <c r="G124" s="7" t="n"/>
      <c r="H124" s="17">
        <f>IF(OR(A124="",B124=""),"",IF(COUNTIFS('Lançamentos Diários'!$A$5:$A$504,A124,'Lançamentos Diários'!$B$5:$B$504,B124)&gt;0,"OK","FALTA LANÇAMENTO"))</f>
        <v/>
      </c>
    </row>
    <row r="125">
      <c r="A125" s="14" t="n"/>
      <c r="B125" s="7" t="n"/>
      <c r="C125" s="15" t="n"/>
      <c r="D125" s="15" t="n"/>
      <c r="E125" s="7" t="n"/>
      <c r="F125" s="12">
        <f>IF(OR(C125="",D125=""),"",ROUND(MOD(D125-C125,1)*24,2))</f>
        <v/>
      </c>
      <c r="G125" s="7" t="n"/>
      <c r="H125" s="17">
        <f>IF(OR(A125="",B125=""),"",IF(COUNTIFS('Lançamentos Diários'!$A$5:$A$504,A125,'Lançamentos Diários'!$B$5:$B$504,B125)&gt;0,"OK","FALTA LANÇAMENTO"))</f>
        <v/>
      </c>
    </row>
    <row r="126">
      <c r="A126" s="14" t="n"/>
      <c r="B126" s="7" t="n"/>
      <c r="C126" s="15" t="n"/>
      <c r="D126" s="15" t="n"/>
      <c r="E126" s="7" t="n"/>
      <c r="F126" s="12">
        <f>IF(OR(C126="",D126=""),"",ROUND(MOD(D126-C126,1)*24,2))</f>
        <v/>
      </c>
      <c r="G126" s="7" t="n"/>
      <c r="H126" s="17">
        <f>IF(OR(A126="",B126=""),"",IF(COUNTIFS('Lançamentos Diários'!$A$5:$A$504,A126,'Lançamentos Diários'!$B$5:$B$504,B126)&gt;0,"OK","FALTA LANÇAMENTO"))</f>
        <v/>
      </c>
    </row>
    <row r="127">
      <c r="A127" s="14" t="n"/>
      <c r="B127" s="7" t="n"/>
      <c r="C127" s="15" t="n"/>
      <c r="D127" s="15" t="n"/>
      <c r="E127" s="7" t="n"/>
      <c r="F127" s="12">
        <f>IF(OR(C127="",D127=""),"",ROUND(MOD(D127-C127,1)*24,2))</f>
        <v/>
      </c>
      <c r="G127" s="7" t="n"/>
      <c r="H127" s="17">
        <f>IF(OR(A127="",B127=""),"",IF(COUNTIFS('Lançamentos Diários'!$A$5:$A$504,A127,'Lançamentos Diários'!$B$5:$B$504,B127)&gt;0,"OK","FALTA LANÇAMENTO"))</f>
        <v/>
      </c>
    </row>
    <row r="128">
      <c r="A128" s="14" t="n"/>
      <c r="B128" s="7" t="n"/>
      <c r="C128" s="15" t="n"/>
      <c r="D128" s="15" t="n"/>
      <c r="E128" s="7" t="n"/>
      <c r="F128" s="12">
        <f>IF(OR(C128="",D128=""),"",ROUND(MOD(D128-C128,1)*24,2))</f>
        <v/>
      </c>
      <c r="G128" s="7" t="n"/>
      <c r="H128" s="17">
        <f>IF(OR(A128="",B128=""),"",IF(COUNTIFS('Lançamentos Diários'!$A$5:$A$504,A128,'Lançamentos Diários'!$B$5:$B$504,B128)&gt;0,"OK","FALTA LANÇAMENTO"))</f>
        <v/>
      </c>
    </row>
    <row r="129">
      <c r="A129" s="14" t="n"/>
      <c r="B129" s="7" t="n"/>
      <c r="C129" s="15" t="n"/>
      <c r="D129" s="15" t="n"/>
      <c r="E129" s="7" t="n"/>
      <c r="F129" s="12">
        <f>IF(OR(C129="",D129=""),"",ROUND(MOD(D129-C129,1)*24,2))</f>
        <v/>
      </c>
      <c r="G129" s="7" t="n"/>
      <c r="H129" s="17">
        <f>IF(OR(A129="",B129=""),"",IF(COUNTIFS('Lançamentos Diários'!$A$5:$A$504,A129,'Lançamentos Diários'!$B$5:$B$504,B129)&gt;0,"OK","FALTA LANÇAMENTO"))</f>
        <v/>
      </c>
    </row>
    <row r="130">
      <c r="A130" s="14" t="n"/>
      <c r="B130" s="7" t="n"/>
      <c r="C130" s="15" t="n"/>
      <c r="D130" s="15" t="n"/>
      <c r="E130" s="7" t="n"/>
      <c r="F130" s="12">
        <f>IF(OR(C130="",D130=""),"",ROUND(MOD(D130-C130,1)*24,2))</f>
        <v/>
      </c>
      <c r="G130" s="7" t="n"/>
      <c r="H130" s="17">
        <f>IF(OR(A130="",B130=""),"",IF(COUNTIFS('Lançamentos Diários'!$A$5:$A$504,A130,'Lançamentos Diários'!$B$5:$B$504,B130)&gt;0,"OK","FALTA LANÇAMENTO"))</f>
        <v/>
      </c>
    </row>
    <row r="131">
      <c r="A131" s="14" t="n"/>
      <c r="B131" s="7" t="n"/>
      <c r="C131" s="15" t="n"/>
      <c r="D131" s="15" t="n"/>
      <c r="E131" s="7" t="n"/>
      <c r="F131" s="12">
        <f>IF(OR(C131="",D131=""),"",ROUND(MOD(D131-C131,1)*24,2))</f>
        <v/>
      </c>
      <c r="G131" s="7" t="n"/>
      <c r="H131" s="17">
        <f>IF(OR(A131="",B131=""),"",IF(COUNTIFS('Lançamentos Diários'!$A$5:$A$504,A131,'Lançamentos Diários'!$B$5:$B$504,B131)&gt;0,"OK","FALTA LANÇAMENTO"))</f>
        <v/>
      </c>
    </row>
    <row r="132">
      <c r="A132" s="14" t="n"/>
      <c r="B132" s="7" t="n"/>
      <c r="C132" s="15" t="n"/>
      <c r="D132" s="15" t="n"/>
      <c r="E132" s="7" t="n"/>
      <c r="F132" s="12">
        <f>IF(OR(C132="",D132=""),"",ROUND(MOD(D132-C132,1)*24,2))</f>
        <v/>
      </c>
      <c r="G132" s="7" t="n"/>
      <c r="H132" s="17">
        <f>IF(OR(A132="",B132=""),"",IF(COUNTIFS('Lançamentos Diários'!$A$5:$A$504,A132,'Lançamentos Diários'!$B$5:$B$504,B132)&gt;0,"OK","FALTA LANÇAMENTO"))</f>
        <v/>
      </c>
    </row>
    <row r="133">
      <c r="A133" s="14" t="n"/>
      <c r="B133" s="7" t="n"/>
      <c r="C133" s="15" t="n"/>
      <c r="D133" s="15" t="n"/>
      <c r="E133" s="7" t="n"/>
      <c r="F133" s="12">
        <f>IF(OR(C133="",D133=""),"",ROUND(MOD(D133-C133,1)*24,2))</f>
        <v/>
      </c>
      <c r="G133" s="7" t="n"/>
      <c r="H133" s="17">
        <f>IF(OR(A133="",B133=""),"",IF(COUNTIFS('Lançamentos Diários'!$A$5:$A$504,A133,'Lançamentos Diários'!$B$5:$B$504,B133)&gt;0,"OK","FALTA LANÇAMENTO"))</f>
        <v/>
      </c>
    </row>
    <row r="134">
      <c r="A134" s="14" t="n"/>
      <c r="B134" s="7" t="n"/>
      <c r="C134" s="15" t="n"/>
      <c r="D134" s="15" t="n"/>
      <c r="E134" s="7" t="n"/>
      <c r="F134" s="12">
        <f>IF(OR(C134="",D134=""),"",ROUND(MOD(D134-C134,1)*24,2))</f>
        <v/>
      </c>
      <c r="G134" s="7" t="n"/>
      <c r="H134" s="17">
        <f>IF(OR(A134="",B134=""),"",IF(COUNTIFS('Lançamentos Diários'!$A$5:$A$504,A134,'Lançamentos Diários'!$B$5:$B$504,B134)&gt;0,"OK","FALTA LANÇAMENTO"))</f>
        <v/>
      </c>
    </row>
    <row r="135">
      <c r="A135" s="14" t="n"/>
      <c r="B135" s="7" t="n"/>
      <c r="C135" s="15" t="n"/>
      <c r="D135" s="15" t="n"/>
      <c r="E135" s="7" t="n"/>
      <c r="F135" s="12">
        <f>IF(OR(C135="",D135=""),"",ROUND(MOD(D135-C135,1)*24,2))</f>
        <v/>
      </c>
      <c r="G135" s="7" t="n"/>
      <c r="H135" s="17">
        <f>IF(OR(A135="",B135=""),"",IF(COUNTIFS('Lançamentos Diários'!$A$5:$A$504,A135,'Lançamentos Diários'!$B$5:$B$504,B135)&gt;0,"OK","FALTA LANÇAMENTO"))</f>
        <v/>
      </c>
    </row>
    <row r="136">
      <c r="A136" s="14" t="n"/>
      <c r="B136" s="7" t="n"/>
      <c r="C136" s="15" t="n"/>
      <c r="D136" s="15" t="n"/>
      <c r="E136" s="7" t="n"/>
      <c r="F136" s="12">
        <f>IF(OR(C136="",D136=""),"",ROUND(MOD(D136-C136,1)*24,2))</f>
        <v/>
      </c>
      <c r="G136" s="7" t="n"/>
      <c r="H136" s="17">
        <f>IF(OR(A136="",B136=""),"",IF(COUNTIFS('Lançamentos Diários'!$A$5:$A$504,A136,'Lançamentos Diários'!$B$5:$B$504,B136)&gt;0,"OK","FALTA LANÇAMENTO"))</f>
        <v/>
      </c>
    </row>
    <row r="137">
      <c r="A137" s="14" t="n"/>
      <c r="B137" s="7" t="n"/>
      <c r="C137" s="15" t="n"/>
      <c r="D137" s="15" t="n"/>
      <c r="E137" s="7" t="n"/>
      <c r="F137" s="12">
        <f>IF(OR(C137="",D137=""),"",ROUND(MOD(D137-C137,1)*24,2))</f>
        <v/>
      </c>
      <c r="G137" s="7" t="n"/>
      <c r="H137" s="17">
        <f>IF(OR(A137="",B137=""),"",IF(COUNTIFS('Lançamentos Diários'!$A$5:$A$504,A137,'Lançamentos Diários'!$B$5:$B$504,B137)&gt;0,"OK","FALTA LANÇAMENTO"))</f>
        <v/>
      </c>
    </row>
    <row r="138">
      <c r="A138" s="14" t="n"/>
      <c r="B138" s="7" t="n"/>
      <c r="C138" s="15" t="n"/>
      <c r="D138" s="15" t="n"/>
      <c r="E138" s="7" t="n"/>
      <c r="F138" s="12">
        <f>IF(OR(C138="",D138=""),"",ROUND(MOD(D138-C138,1)*24,2))</f>
        <v/>
      </c>
      <c r="G138" s="7" t="n"/>
      <c r="H138" s="17">
        <f>IF(OR(A138="",B138=""),"",IF(COUNTIFS('Lançamentos Diários'!$A$5:$A$504,A138,'Lançamentos Diários'!$B$5:$B$504,B138)&gt;0,"OK","FALTA LANÇAMENTO"))</f>
        <v/>
      </c>
    </row>
    <row r="139">
      <c r="A139" s="14" t="n"/>
      <c r="B139" s="7" t="n"/>
      <c r="C139" s="15" t="n"/>
      <c r="D139" s="15" t="n"/>
      <c r="E139" s="7" t="n"/>
      <c r="F139" s="12">
        <f>IF(OR(C139="",D139=""),"",ROUND(MOD(D139-C139,1)*24,2))</f>
        <v/>
      </c>
      <c r="G139" s="7" t="n"/>
      <c r="H139" s="17">
        <f>IF(OR(A139="",B139=""),"",IF(COUNTIFS('Lançamentos Diários'!$A$5:$A$504,A139,'Lançamentos Diários'!$B$5:$B$504,B139)&gt;0,"OK","FALTA LANÇAMENTO"))</f>
        <v/>
      </c>
    </row>
    <row r="140">
      <c r="A140" s="14" t="n"/>
      <c r="B140" s="7" t="n"/>
      <c r="C140" s="15" t="n"/>
      <c r="D140" s="15" t="n"/>
      <c r="E140" s="7" t="n"/>
      <c r="F140" s="12">
        <f>IF(OR(C140="",D140=""),"",ROUND(MOD(D140-C140,1)*24,2))</f>
        <v/>
      </c>
      <c r="G140" s="7" t="n"/>
      <c r="H140" s="17">
        <f>IF(OR(A140="",B140=""),"",IF(COUNTIFS('Lançamentos Diários'!$A$5:$A$504,A140,'Lançamentos Diários'!$B$5:$B$504,B140)&gt;0,"OK","FALTA LANÇAMENTO"))</f>
        <v/>
      </c>
    </row>
    <row r="141">
      <c r="A141" s="14" t="n"/>
      <c r="B141" s="7" t="n"/>
      <c r="C141" s="15" t="n"/>
      <c r="D141" s="15" t="n"/>
      <c r="E141" s="7" t="n"/>
      <c r="F141" s="12">
        <f>IF(OR(C141="",D141=""),"",ROUND(MOD(D141-C141,1)*24,2))</f>
        <v/>
      </c>
      <c r="G141" s="7" t="n"/>
      <c r="H141" s="17">
        <f>IF(OR(A141="",B141=""),"",IF(COUNTIFS('Lançamentos Diários'!$A$5:$A$504,A141,'Lançamentos Diários'!$B$5:$B$504,B141)&gt;0,"OK","FALTA LANÇAMENTO"))</f>
        <v/>
      </c>
    </row>
    <row r="142">
      <c r="A142" s="14" t="n"/>
      <c r="B142" s="7" t="n"/>
      <c r="C142" s="15" t="n"/>
      <c r="D142" s="15" t="n"/>
      <c r="E142" s="7" t="n"/>
      <c r="F142" s="12">
        <f>IF(OR(C142="",D142=""),"",ROUND(MOD(D142-C142,1)*24,2))</f>
        <v/>
      </c>
      <c r="G142" s="7" t="n"/>
      <c r="H142" s="17">
        <f>IF(OR(A142="",B142=""),"",IF(COUNTIFS('Lançamentos Diários'!$A$5:$A$504,A142,'Lançamentos Diários'!$B$5:$B$504,B142)&gt;0,"OK","FALTA LANÇAMENTO"))</f>
        <v/>
      </c>
    </row>
    <row r="143">
      <c r="A143" s="14" t="n"/>
      <c r="B143" s="7" t="n"/>
      <c r="C143" s="15" t="n"/>
      <c r="D143" s="15" t="n"/>
      <c r="E143" s="7" t="n"/>
      <c r="F143" s="12">
        <f>IF(OR(C143="",D143=""),"",ROUND(MOD(D143-C143,1)*24,2))</f>
        <v/>
      </c>
      <c r="G143" s="7" t="n"/>
      <c r="H143" s="17">
        <f>IF(OR(A143="",B143=""),"",IF(COUNTIFS('Lançamentos Diários'!$A$5:$A$504,A143,'Lançamentos Diários'!$B$5:$B$504,B143)&gt;0,"OK","FALTA LANÇAMENTO"))</f>
        <v/>
      </c>
    </row>
    <row r="144">
      <c r="A144" s="14" t="n"/>
      <c r="B144" s="7" t="n"/>
      <c r="C144" s="15" t="n"/>
      <c r="D144" s="15" t="n"/>
      <c r="E144" s="7" t="n"/>
      <c r="F144" s="12">
        <f>IF(OR(C144="",D144=""),"",ROUND(MOD(D144-C144,1)*24,2))</f>
        <v/>
      </c>
      <c r="G144" s="7" t="n"/>
      <c r="H144" s="17">
        <f>IF(OR(A144="",B144=""),"",IF(COUNTIFS('Lançamentos Diários'!$A$5:$A$504,A144,'Lançamentos Diários'!$B$5:$B$504,B144)&gt;0,"OK","FALTA LANÇAMENTO"))</f>
        <v/>
      </c>
    </row>
    <row r="145">
      <c r="A145" s="14" t="n"/>
      <c r="B145" s="7" t="n"/>
      <c r="C145" s="15" t="n"/>
      <c r="D145" s="15" t="n"/>
      <c r="E145" s="7" t="n"/>
      <c r="F145" s="12">
        <f>IF(OR(C145="",D145=""),"",ROUND(MOD(D145-C145,1)*24,2))</f>
        <v/>
      </c>
      <c r="G145" s="7" t="n"/>
      <c r="H145" s="17">
        <f>IF(OR(A145="",B145=""),"",IF(COUNTIFS('Lançamentos Diários'!$A$5:$A$504,A145,'Lançamentos Diários'!$B$5:$B$504,B145)&gt;0,"OK","FALTA LANÇAMENTO"))</f>
        <v/>
      </c>
    </row>
    <row r="146">
      <c r="A146" s="14" t="n"/>
      <c r="B146" s="7" t="n"/>
      <c r="C146" s="15" t="n"/>
      <c r="D146" s="15" t="n"/>
      <c r="E146" s="7" t="n"/>
      <c r="F146" s="12">
        <f>IF(OR(C146="",D146=""),"",ROUND(MOD(D146-C146,1)*24,2))</f>
        <v/>
      </c>
      <c r="G146" s="7" t="n"/>
      <c r="H146" s="17">
        <f>IF(OR(A146="",B146=""),"",IF(COUNTIFS('Lançamentos Diários'!$A$5:$A$504,A146,'Lançamentos Diários'!$B$5:$B$504,B146)&gt;0,"OK","FALTA LANÇAMENTO"))</f>
        <v/>
      </c>
    </row>
    <row r="147">
      <c r="A147" s="14" t="n"/>
      <c r="B147" s="7" t="n"/>
      <c r="C147" s="15" t="n"/>
      <c r="D147" s="15" t="n"/>
      <c r="E147" s="7" t="n"/>
      <c r="F147" s="12">
        <f>IF(OR(C147="",D147=""),"",ROUND(MOD(D147-C147,1)*24,2))</f>
        <v/>
      </c>
      <c r="G147" s="7" t="n"/>
      <c r="H147" s="17">
        <f>IF(OR(A147="",B147=""),"",IF(COUNTIFS('Lançamentos Diários'!$A$5:$A$504,A147,'Lançamentos Diários'!$B$5:$B$504,B147)&gt;0,"OK","FALTA LANÇAMENTO"))</f>
        <v/>
      </c>
    </row>
    <row r="148">
      <c r="A148" s="14" t="n"/>
      <c r="B148" s="7" t="n"/>
      <c r="C148" s="15" t="n"/>
      <c r="D148" s="15" t="n"/>
      <c r="E148" s="7" t="n"/>
      <c r="F148" s="12">
        <f>IF(OR(C148="",D148=""),"",ROUND(MOD(D148-C148,1)*24,2))</f>
        <v/>
      </c>
      <c r="G148" s="7" t="n"/>
      <c r="H148" s="17">
        <f>IF(OR(A148="",B148=""),"",IF(COUNTIFS('Lançamentos Diários'!$A$5:$A$504,A148,'Lançamentos Diários'!$B$5:$B$504,B148)&gt;0,"OK","FALTA LANÇAMENTO"))</f>
        <v/>
      </c>
    </row>
    <row r="149">
      <c r="A149" s="14" t="n"/>
      <c r="B149" s="7" t="n"/>
      <c r="C149" s="15" t="n"/>
      <c r="D149" s="15" t="n"/>
      <c r="E149" s="7" t="n"/>
      <c r="F149" s="12">
        <f>IF(OR(C149="",D149=""),"",ROUND(MOD(D149-C149,1)*24,2))</f>
        <v/>
      </c>
      <c r="G149" s="7" t="n"/>
      <c r="H149" s="17">
        <f>IF(OR(A149="",B149=""),"",IF(COUNTIFS('Lançamentos Diários'!$A$5:$A$504,A149,'Lançamentos Diários'!$B$5:$B$504,B149)&gt;0,"OK","FALTA LANÇAMENTO"))</f>
        <v/>
      </c>
    </row>
    <row r="150">
      <c r="A150" s="14" t="n"/>
      <c r="B150" s="7" t="n"/>
      <c r="C150" s="15" t="n"/>
      <c r="D150" s="15" t="n"/>
      <c r="E150" s="7" t="n"/>
      <c r="F150" s="12">
        <f>IF(OR(C150="",D150=""),"",ROUND(MOD(D150-C150,1)*24,2))</f>
        <v/>
      </c>
      <c r="G150" s="7" t="n"/>
      <c r="H150" s="17">
        <f>IF(OR(A150="",B150=""),"",IF(COUNTIFS('Lançamentos Diários'!$A$5:$A$504,A150,'Lançamentos Diários'!$B$5:$B$504,B150)&gt;0,"OK","FALTA LANÇAMENTO"))</f>
        <v/>
      </c>
    </row>
    <row r="151">
      <c r="A151" s="14" t="n"/>
      <c r="B151" s="7" t="n"/>
      <c r="C151" s="15" t="n"/>
      <c r="D151" s="15" t="n"/>
      <c r="E151" s="7" t="n"/>
      <c r="F151" s="12">
        <f>IF(OR(C151="",D151=""),"",ROUND(MOD(D151-C151,1)*24,2))</f>
        <v/>
      </c>
      <c r="G151" s="7" t="n"/>
      <c r="H151" s="17">
        <f>IF(OR(A151="",B151=""),"",IF(COUNTIFS('Lançamentos Diários'!$A$5:$A$504,A151,'Lançamentos Diários'!$B$5:$B$504,B151)&gt;0,"OK","FALTA LANÇAMENTO"))</f>
        <v/>
      </c>
    </row>
    <row r="152">
      <c r="A152" s="14" t="n"/>
      <c r="B152" s="7" t="n"/>
      <c r="C152" s="15" t="n"/>
      <c r="D152" s="15" t="n"/>
      <c r="E152" s="7" t="n"/>
      <c r="F152" s="12">
        <f>IF(OR(C152="",D152=""),"",ROUND(MOD(D152-C152,1)*24,2))</f>
        <v/>
      </c>
      <c r="G152" s="7" t="n"/>
      <c r="H152" s="17">
        <f>IF(OR(A152="",B152=""),"",IF(COUNTIFS('Lançamentos Diários'!$A$5:$A$504,A152,'Lançamentos Diários'!$B$5:$B$504,B152)&gt;0,"OK","FALTA LANÇAMENTO"))</f>
        <v/>
      </c>
    </row>
    <row r="153">
      <c r="A153" s="14" t="n"/>
      <c r="B153" s="7" t="n"/>
      <c r="C153" s="15" t="n"/>
      <c r="D153" s="15" t="n"/>
      <c r="E153" s="7" t="n"/>
      <c r="F153" s="12">
        <f>IF(OR(C153="",D153=""),"",ROUND(MOD(D153-C153,1)*24,2))</f>
        <v/>
      </c>
      <c r="G153" s="7" t="n"/>
      <c r="H153" s="17">
        <f>IF(OR(A153="",B153=""),"",IF(COUNTIFS('Lançamentos Diários'!$A$5:$A$504,A153,'Lançamentos Diários'!$B$5:$B$504,B153)&gt;0,"OK","FALTA LANÇAMENTO"))</f>
        <v/>
      </c>
    </row>
    <row r="154">
      <c r="A154" s="14" t="n"/>
      <c r="B154" s="7" t="n"/>
      <c r="C154" s="15" t="n"/>
      <c r="D154" s="15" t="n"/>
      <c r="E154" s="7" t="n"/>
      <c r="F154" s="12">
        <f>IF(OR(C154="",D154=""),"",ROUND(MOD(D154-C154,1)*24,2))</f>
        <v/>
      </c>
      <c r="G154" s="7" t="n"/>
      <c r="H154" s="17">
        <f>IF(OR(A154="",B154=""),"",IF(COUNTIFS('Lançamentos Diários'!$A$5:$A$504,A154,'Lançamentos Diários'!$B$5:$B$504,B154)&gt;0,"OK","FALTA LANÇAMENTO"))</f>
        <v/>
      </c>
    </row>
    <row r="155">
      <c r="A155" s="14" t="n"/>
      <c r="B155" s="7" t="n"/>
      <c r="C155" s="15" t="n"/>
      <c r="D155" s="15" t="n"/>
      <c r="E155" s="7" t="n"/>
      <c r="F155" s="12">
        <f>IF(OR(C155="",D155=""),"",ROUND(MOD(D155-C155,1)*24,2))</f>
        <v/>
      </c>
      <c r="G155" s="7" t="n"/>
      <c r="H155" s="17">
        <f>IF(OR(A155="",B155=""),"",IF(COUNTIFS('Lançamentos Diários'!$A$5:$A$504,A155,'Lançamentos Diários'!$B$5:$B$504,B155)&gt;0,"OK","FALTA LANÇAMENTO"))</f>
        <v/>
      </c>
    </row>
    <row r="156">
      <c r="A156" s="14" t="n"/>
      <c r="B156" s="7" t="n"/>
      <c r="C156" s="15" t="n"/>
      <c r="D156" s="15" t="n"/>
      <c r="E156" s="7" t="n"/>
      <c r="F156" s="12">
        <f>IF(OR(C156="",D156=""),"",ROUND(MOD(D156-C156,1)*24,2))</f>
        <v/>
      </c>
      <c r="G156" s="7" t="n"/>
      <c r="H156" s="17">
        <f>IF(OR(A156="",B156=""),"",IF(COUNTIFS('Lançamentos Diários'!$A$5:$A$504,A156,'Lançamentos Diários'!$B$5:$B$504,B156)&gt;0,"OK","FALTA LANÇAMENTO"))</f>
        <v/>
      </c>
    </row>
    <row r="157">
      <c r="A157" s="14" t="n"/>
      <c r="B157" s="7" t="n"/>
      <c r="C157" s="15" t="n"/>
      <c r="D157" s="15" t="n"/>
      <c r="E157" s="7" t="n"/>
      <c r="F157" s="12">
        <f>IF(OR(C157="",D157=""),"",ROUND(MOD(D157-C157,1)*24,2))</f>
        <v/>
      </c>
      <c r="G157" s="7" t="n"/>
      <c r="H157" s="17">
        <f>IF(OR(A157="",B157=""),"",IF(COUNTIFS('Lançamentos Diários'!$A$5:$A$504,A157,'Lançamentos Diários'!$B$5:$B$504,B157)&gt;0,"OK","FALTA LANÇAMENTO"))</f>
        <v/>
      </c>
    </row>
    <row r="158">
      <c r="A158" s="14" t="n"/>
      <c r="B158" s="7" t="n"/>
      <c r="C158" s="15" t="n"/>
      <c r="D158" s="15" t="n"/>
      <c r="E158" s="7" t="n"/>
      <c r="F158" s="12">
        <f>IF(OR(C158="",D158=""),"",ROUND(MOD(D158-C158,1)*24,2))</f>
        <v/>
      </c>
      <c r="G158" s="7" t="n"/>
      <c r="H158" s="17">
        <f>IF(OR(A158="",B158=""),"",IF(COUNTIFS('Lançamentos Diários'!$A$5:$A$504,A158,'Lançamentos Diários'!$B$5:$B$504,B158)&gt;0,"OK","FALTA LANÇAMENTO"))</f>
        <v/>
      </c>
    </row>
    <row r="159">
      <c r="A159" s="14" t="n"/>
      <c r="B159" s="7" t="n"/>
      <c r="C159" s="15" t="n"/>
      <c r="D159" s="15" t="n"/>
      <c r="E159" s="7" t="n"/>
      <c r="F159" s="12">
        <f>IF(OR(C159="",D159=""),"",ROUND(MOD(D159-C159,1)*24,2))</f>
        <v/>
      </c>
      <c r="G159" s="7" t="n"/>
      <c r="H159" s="17">
        <f>IF(OR(A159="",B159=""),"",IF(COUNTIFS('Lançamentos Diários'!$A$5:$A$504,A159,'Lançamentos Diários'!$B$5:$B$504,B159)&gt;0,"OK","FALTA LANÇAMENTO"))</f>
        <v/>
      </c>
    </row>
    <row r="160">
      <c r="A160" s="14" t="n"/>
      <c r="B160" s="7" t="n"/>
      <c r="C160" s="15" t="n"/>
      <c r="D160" s="15" t="n"/>
      <c r="E160" s="7" t="n"/>
      <c r="F160" s="12">
        <f>IF(OR(C160="",D160=""),"",ROUND(MOD(D160-C160,1)*24,2))</f>
        <v/>
      </c>
      <c r="G160" s="7" t="n"/>
      <c r="H160" s="17">
        <f>IF(OR(A160="",B160=""),"",IF(COUNTIFS('Lançamentos Diários'!$A$5:$A$504,A160,'Lançamentos Diários'!$B$5:$B$504,B160)&gt;0,"OK","FALTA LANÇAMENTO"))</f>
        <v/>
      </c>
    </row>
    <row r="161">
      <c r="A161" s="14" t="n"/>
      <c r="B161" s="7" t="n"/>
      <c r="C161" s="15" t="n"/>
      <c r="D161" s="15" t="n"/>
      <c r="E161" s="7" t="n"/>
      <c r="F161" s="12">
        <f>IF(OR(C161="",D161=""),"",ROUND(MOD(D161-C161,1)*24,2))</f>
        <v/>
      </c>
      <c r="G161" s="7" t="n"/>
      <c r="H161" s="17">
        <f>IF(OR(A161="",B161=""),"",IF(COUNTIFS('Lançamentos Diários'!$A$5:$A$504,A161,'Lançamentos Diários'!$B$5:$B$504,B161)&gt;0,"OK","FALTA LANÇAMENTO"))</f>
        <v/>
      </c>
    </row>
    <row r="162">
      <c r="A162" s="14" t="n"/>
      <c r="B162" s="7" t="n"/>
      <c r="C162" s="15" t="n"/>
      <c r="D162" s="15" t="n"/>
      <c r="E162" s="7" t="n"/>
      <c r="F162" s="12">
        <f>IF(OR(C162="",D162=""),"",ROUND(MOD(D162-C162,1)*24,2))</f>
        <v/>
      </c>
      <c r="G162" s="7" t="n"/>
      <c r="H162" s="17">
        <f>IF(OR(A162="",B162=""),"",IF(COUNTIFS('Lançamentos Diários'!$A$5:$A$504,A162,'Lançamentos Diários'!$B$5:$B$504,B162)&gt;0,"OK","FALTA LANÇAMENTO"))</f>
        <v/>
      </c>
    </row>
    <row r="163">
      <c r="A163" s="14" t="n"/>
      <c r="B163" s="7" t="n"/>
      <c r="C163" s="15" t="n"/>
      <c r="D163" s="15" t="n"/>
      <c r="E163" s="7" t="n"/>
      <c r="F163" s="12">
        <f>IF(OR(C163="",D163=""),"",ROUND(MOD(D163-C163,1)*24,2))</f>
        <v/>
      </c>
      <c r="G163" s="7" t="n"/>
      <c r="H163" s="17">
        <f>IF(OR(A163="",B163=""),"",IF(COUNTIFS('Lançamentos Diários'!$A$5:$A$504,A163,'Lançamentos Diários'!$B$5:$B$504,B163)&gt;0,"OK","FALTA LANÇAMENTO"))</f>
        <v/>
      </c>
    </row>
    <row r="164">
      <c r="A164" s="14" t="n"/>
      <c r="B164" s="7" t="n"/>
      <c r="C164" s="15" t="n"/>
      <c r="D164" s="15" t="n"/>
      <c r="E164" s="7" t="n"/>
      <c r="F164" s="12">
        <f>IF(OR(C164="",D164=""),"",ROUND(MOD(D164-C164,1)*24,2))</f>
        <v/>
      </c>
      <c r="G164" s="7" t="n"/>
      <c r="H164" s="17">
        <f>IF(OR(A164="",B164=""),"",IF(COUNTIFS('Lançamentos Diários'!$A$5:$A$504,A164,'Lançamentos Diários'!$B$5:$B$504,B164)&gt;0,"OK","FALTA LANÇAMENTO"))</f>
        <v/>
      </c>
    </row>
    <row r="165">
      <c r="A165" s="14" t="n"/>
      <c r="B165" s="7" t="n"/>
      <c r="C165" s="15" t="n"/>
      <c r="D165" s="15" t="n"/>
      <c r="E165" s="7" t="n"/>
      <c r="F165" s="12">
        <f>IF(OR(C165="",D165=""),"",ROUND(MOD(D165-C165,1)*24,2))</f>
        <v/>
      </c>
      <c r="G165" s="7" t="n"/>
      <c r="H165" s="17">
        <f>IF(OR(A165="",B165=""),"",IF(COUNTIFS('Lançamentos Diários'!$A$5:$A$504,A165,'Lançamentos Diários'!$B$5:$B$504,B165)&gt;0,"OK","FALTA LANÇAMENTO"))</f>
        <v/>
      </c>
    </row>
    <row r="166">
      <c r="A166" s="14" t="n"/>
      <c r="B166" s="7" t="n"/>
      <c r="C166" s="15" t="n"/>
      <c r="D166" s="15" t="n"/>
      <c r="E166" s="7" t="n"/>
      <c r="F166" s="12">
        <f>IF(OR(C166="",D166=""),"",ROUND(MOD(D166-C166,1)*24,2))</f>
        <v/>
      </c>
      <c r="G166" s="7" t="n"/>
      <c r="H166" s="17">
        <f>IF(OR(A166="",B166=""),"",IF(COUNTIFS('Lançamentos Diários'!$A$5:$A$504,A166,'Lançamentos Diários'!$B$5:$B$504,B166)&gt;0,"OK","FALTA LANÇAMENTO"))</f>
        <v/>
      </c>
    </row>
    <row r="167">
      <c r="A167" s="14" t="n"/>
      <c r="B167" s="7" t="n"/>
      <c r="C167" s="15" t="n"/>
      <c r="D167" s="15" t="n"/>
      <c r="E167" s="7" t="n"/>
      <c r="F167" s="12">
        <f>IF(OR(C167="",D167=""),"",ROUND(MOD(D167-C167,1)*24,2))</f>
        <v/>
      </c>
      <c r="G167" s="7" t="n"/>
      <c r="H167" s="17">
        <f>IF(OR(A167="",B167=""),"",IF(COUNTIFS('Lançamentos Diários'!$A$5:$A$504,A167,'Lançamentos Diários'!$B$5:$B$504,B167)&gt;0,"OK","FALTA LANÇAMENTO"))</f>
        <v/>
      </c>
    </row>
    <row r="168">
      <c r="A168" s="14" t="n"/>
      <c r="B168" s="7" t="n"/>
      <c r="C168" s="15" t="n"/>
      <c r="D168" s="15" t="n"/>
      <c r="E168" s="7" t="n"/>
      <c r="F168" s="12">
        <f>IF(OR(C168="",D168=""),"",ROUND(MOD(D168-C168,1)*24,2))</f>
        <v/>
      </c>
      <c r="G168" s="7" t="n"/>
      <c r="H168" s="17">
        <f>IF(OR(A168="",B168=""),"",IF(COUNTIFS('Lançamentos Diários'!$A$5:$A$504,A168,'Lançamentos Diários'!$B$5:$B$504,B168)&gt;0,"OK","FALTA LANÇAMENTO"))</f>
        <v/>
      </c>
    </row>
    <row r="169">
      <c r="A169" s="14" t="n"/>
      <c r="B169" s="7" t="n"/>
      <c r="C169" s="15" t="n"/>
      <c r="D169" s="15" t="n"/>
      <c r="E169" s="7" t="n"/>
      <c r="F169" s="12">
        <f>IF(OR(C169="",D169=""),"",ROUND(MOD(D169-C169,1)*24,2))</f>
        <v/>
      </c>
      <c r="G169" s="7" t="n"/>
      <c r="H169" s="17">
        <f>IF(OR(A169="",B169=""),"",IF(COUNTIFS('Lançamentos Diários'!$A$5:$A$504,A169,'Lançamentos Diários'!$B$5:$B$504,B169)&gt;0,"OK","FALTA LANÇAMENTO"))</f>
        <v/>
      </c>
    </row>
    <row r="170">
      <c r="A170" s="14" t="n"/>
      <c r="B170" s="7" t="n"/>
      <c r="C170" s="15" t="n"/>
      <c r="D170" s="15" t="n"/>
      <c r="E170" s="7" t="n"/>
      <c r="F170" s="12">
        <f>IF(OR(C170="",D170=""),"",ROUND(MOD(D170-C170,1)*24,2))</f>
        <v/>
      </c>
      <c r="G170" s="7" t="n"/>
      <c r="H170" s="17">
        <f>IF(OR(A170="",B170=""),"",IF(COUNTIFS('Lançamentos Diários'!$A$5:$A$504,A170,'Lançamentos Diários'!$B$5:$B$504,B170)&gt;0,"OK","FALTA LANÇAMENTO"))</f>
        <v/>
      </c>
    </row>
    <row r="171">
      <c r="A171" s="14" t="n"/>
      <c r="B171" s="7" t="n"/>
      <c r="C171" s="15" t="n"/>
      <c r="D171" s="15" t="n"/>
      <c r="E171" s="7" t="n"/>
      <c r="F171" s="12">
        <f>IF(OR(C171="",D171=""),"",ROUND(MOD(D171-C171,1)*24,2))</f>
        <v/>
      </c>
      <c r="G171" s="7" t="n"/>
      <c r="H171" s="17">
        <f>IF(OR(A171="",B171=""),"",IF(COUNTIFS('Lançamentos Diários'!$A$5:$A$504,A171,'Lançamentos Diários'!$B$5:$B$504,B171)&gt;0,"OK","FALTA LANÇAMENTO"))</f>
        <v/>
      </c>
    </row>
    <row r="172">
      <c r="A172" s="14" t="n"/>
      <c r="B172" s="7" t="n"/>
      <c r="C172" s="15" t="n"/>
      <c r="D172" s="15" t="n"/>
      <c r="E172" s="7" t="n"/>
      <c r="F172" s="12">
        <f>IF(OR(C172="",D172=""),"",ROUND(MOD(D172-C172,1)*24,2))</f>
        <v/>
      </c>
      <c r="G172" s="7" t="n"/>
      <c r="H172" s="17">
        <f>IF(OR(A172="",B172=""),"",IF(COUNTIFS('Lançamentos Diários'!$A$5:$A$504,A172,'Lançamentos Diários'!$B$5:$B$504,B172)&gt;0,"OK","FALTA LANÇAMENTO"))</f>
        <v/>
      </c>
    </row>
    <row r="173">
      <c r="A173" s="14" t="n"/>
      <c r="B173" s="7" t="n"/>
      <c r="C173" s="15" t="n"/>
      <c r="D173" s="15" t="n"/>
      <c r="E173" s="7" t="n"/>
      <c r="F173" s="12">
        <f>IF(OR(C173="",D173=""),"",ROUND(MOD(D173-C173,1)*24,2))</f>
        <v/>
      </c>
      <c r="G173" s="7" t="n"/>
      <c r="H173" s="17">
        <f>IF(OR(A173="",B173=""),"",IF(COUNTIFS('Lançamentos Diários'!$A$5:$A$504,A173,'Lançamentos Diários'!$B$5:$B$504,B173)&gt;0,"OK","FALTA LANÇAMENTO"))</f>
        <v/>
      </c>
    </row>
    <row r="174">
      <c r="A174" s="14" t="n"/>
      <c r="B174" s="7" t="n"/>
      <c r="C174" s="15" t="n"/>
      <c r="D174" s="15" t="n"/>
      <c r="E174" s="7" t="n"/>
      <c r="F174" s="12">
        <f>IF(OR(C174="",D174=""),"",ROUND(MOD(D174-C174,1)*24,2))</f>
        <v/>
      </c>
      <c r="G174" s="7" t="n"/>
      <c r="H174" s="17">
        <f>IF(OR(A174="",B174=""),"",IF(COUNTIFS('Lançamentos Diários'!$A$5:$A$504,A174,'Lançamentos Diários'!$B$5:$B$504,B174)&gt;0,"OK","FALTA LANÇAMENTO"))</f>
        <v/>
      </c>
    </row>
    <row r="175">
      <c r="A175" s="14" t="n"/>
      <c r="B175" s="7" t="n"/>
      <c r="C175" s="15" t="n"/>
      <c r="D175" s="15" t="n"/>
      <c r="E175" s="7" t="n"/>
      <c r="F175" s="12">
        <f>IF(OR(C175="",D175=""),"",ROUND(MOD(D175-C175,1)*24,2))</f>
        <v/>
      </c>
      <c r="G175" s="7" t="n"/>
      <c r="H175" s="17">
        <f>IF(OR(A175="",B175=""),"",IF(COUNTIFS('Lançamentos Diários'!$A$5:$A$504,A175,'Lançamentos Diários'!$B$5:$B$504,B175)&gt;0,"OK","FALTA LANÇAMENTO"))</f>
        <v/>
      </c>
    </row>
    <row r="176">
      <c r="A176" s="14" t="n"/>
      <c r="B176" s="7" t="n"/>
      <c r="C176" s="15" t="n"/>
      <c r="D176" s="15" t="n"/>
      <c r="E176" s="7" t="n"/>
      <c r="F176" s="12">
        <f>IF(OR(C176="",D176=""),"",ROUND(MOD(D176-C176,1)*24,2))</f>
        <v/>
      </c>
      <c r="G176" s="7" t="n"/>
      <c r="H176" s="17">
        <f>IF(OR(A176="",B176=""),"",IF(COUNTIFS('Lançamentos Diários'!$A$5:$A$504,A176,'Lançamentos Diários'!$B$5:$B$504,B176)&gt;0,"OK","FALTA LANÇAMENTO"))</f>
        <v/>
      </c>
    </row>
    <row r="177">
      <c r="A177" s="14" t="n"/>
      <c r="B177" s="7" t="n"/>
      <c r="C177" s="15" t="n"/>
      <c r="D177" s="15" t="n"/>
      <c r="E177" s="7" t="n"/>
      <c r="F177" s="12">
        <f>IF(OR(C177="",D177=""),"",ROUND(MOD(D177-C177,1)*24,2))</f>
        <v/>
      </c>
      <c r="G177" s="7" t="n"/>
      <c r="H177" s="17">
        <f>IF(OR(A177="",B177=""),"",IF(COUNTIFS('Lançamentos Diários'!$A$5:$A$504,A177,'Lançamentos Diários'!$B$5:$B$504,B177)&gt;0,"OK","FALTA LANÇAMENTO"))</f>
        <v/>
      </c>
    </row>
    <row r="178">
      <c r="A178" s="14" t="n"/>
      <c r="B178" s="7" t="n"/>
      <c r="C178" s="15" t="n"/>
      <c r="D178" s="15" t="n"/>
      <c r="E178" s="7" t="n"/>
      <c r="F178" s="12">
        <f>IF(OR(C178="",D178=""),"",ROUND(MOD(D178-C178,1)*24,2))</f>
        <v/>
      </c>
      <c r="G178" s="7" t="n"/>
      <c r="H178" s="17">
        <f>IF(OR(A178="",B178=""),"",IF(COUNTIFS('Lançamentos Diários'!$A$5:$A$504,A178,'Lançamentos Diários'!$B$5:$B$504,B178)&gt;0,"OK","FALTA LANÇAMENTO"))</f>
        <v/>
      </c>
    </row>
    <row r="179">
      <c r="A179" s="14" t="n"/>
      <c r="B179" s="7" t="n"/>
      <c r="C179" s="15" t="n"/>
      <c r="D179" s="15" t="n"/>
      <c r="E179" s="7" t="n"/>
      <c r="F179" s="12">
        <f>IF(OR(C179="",D179=""),"",ROUND(MOD(D179-C179,1)*24,2))</f>
        <v/>
      </c>
      <c r="G179" s="7" t="n"/>
      <c r="H179" s="17">
        <f>IF(OR(A179="",B179=""),"",IF(COUNTIFS('Lançamentos Diários'!$A$5:$A$504,A179,'Lançamentos Diários'!$B$5:$B$504,B179)&gt;0,"OK","FALTA LANÇAMENTO"))</f>
        <v/>
      </c>
    </row>
    <row r="180">
      <c r="A180" s="14" t="n"/>
      <c r="B180" s="7" t="n"/>
      <c r="C180" s="15" t="n"/>
      <c r="D180" s="15" t="n"/>
      <c r="E180" s="7" t="n"/>
      <c r="F180" s="12">
        <f>IF(OR(C180="",D180=""),"",ROUND(MOD(D180-C180,1)*24,2))</f>
        <v/>
      </c>
      <c r="G180" s="7" t="n"/>
      <c r="H180" s="17">
        <f>IF(OR(A180="",B180=""),"",IF(COUNTIFS('Lançamentos Diários'!$A$5:$A$504,A180,'Lançamentos Diários'!$B$5:$B$504,B180)&gt;0,"OK","FALTA LANÇAMENTO"))</f>
        <v/>
      </c>
    </row>
    <row r="181">
      <c r="A181" s="14" t="n"/>
      <c r="B181" s="7" t="n"/>
      <c r="C181" s="15" t="n"/>
      <c r="D181" s="15" t="n"/>
      <c r="E181" s="7" t="n"/>
      <c r="F181" s="12">
        <f>IF(OR(C181="",D181=""),"",ROUND(MOD(D181-C181,1)*24,2))</f>
        <v/>
      </c>
      <c r="G181" s="7" t="n"/>
      <c r="H181" s="17">
        <f>IF(OR(A181="",B181=""),"",IF(COUNTIFS('Lançamentos Diários'!$A$5:$A$504,A181,'Lançamentos Diários'!$B$5:$B$504,B181)&gt;0,"OK","FALTA LANÇAMENTO"))</f>
        <v/>
      </c>
    </row>
    <row r="182">
      <c r="A182" s="14" t="n"/>
      <c r="B182" s="7" t="n"/>
      <c r="C182" s="15" t="n"/>
      <c r="D182" s="15" t="n"/>
      <c r="E182" s="7" t="n"/>
      <c r="F182" s="12">
        <f>IF(OR(C182="",D182=""),"",ROUND(MOD(D182-C182,1)*24,2))</f>
        <v/>
      </c>
      <c r="G182" s="7" t="n"/>
      <c r="H182" s="17">
        <f>IF(OR(A182="",B182=""),"",IF(COUNTIFS('Lançamentos Diários'!$A$5:$A$504,A182,'Lançamentos Diários'!$B$5:$B$504,B182)&gt;0,"OK","FALTA LANÇAMENTO"))</f>
        <v/>
      </c>
    </row>
    <row r="183">
      <c r="A183" s="14" t="n"/>
      <c r="B183" s="7" t="n"/>
      <c r="C183" s="15" t="n"/>
      <c r="D183" s="15" t="n"/>
      <c r="E183" s="7" t="n"/>
      <c r="F183" s="12">
        <f>IF(OR(C183="",D183=""),"",ROUND(MOD(D183-C183,1)*24,2))</f>
        <v/>
      </c>
      <c r="G183" s="7" t="n"/>
      <c r="H183" s="17">
        <f>IF(OR(A183="",B183=""),"",IF(COUNTIFS('Lançamentos Diários'!$A$5:$A$504,A183,'Lançamentos Diários'!$B$5:$B$504,B183)&gt;0,"OK","FALTA LANÇAMENTO"))</f>
        <v/>
      </c>
    </row>
    <row r="184">
      <c r="A184" s="14" t="n"/>
      <c r="B184" s="7" t="n"/>
      <c r="C184" s="15" t="n"/>
      <c r="D184" s="15" t="n"/>
      <c r="E184" s="7" t="n"/>
      <c r="F184" s="12">
        <f>IF(OR(C184="",D184=""),"",ROUND(MOD(D184-C184,1)*24,2))</f>
        <v/>
      </c>
      <c r="G184" s="7" t="n"/>
      <c r="H184" s="17">
        <f>IF(OR(A184="",B184=""),"",IF(COUNTIFS('Lançamentos Diários'!$A$5:$A$504,A184,'Lançamentos Diários'!$B$5:$B$504,B184)&gt;0,"OK","FALTA LANÇAMENTO"))</f>
        <v/>
      </c>
    </row>
    <row r="185">
      <c r="A185" s="14" t="n"/>
      <c r="B185" s="7" t="n"/>
      <c r="C185" s="15" t="n"/>
      <c r="D185" s="15" t="n"/>
      <c r="E185" s="7" t="n"/>
      <c r="F185" s="12">
        <f>IF(OR(C185="",D185=""),"",ROUND(MOD(D185-C185,1)*24,2))</f>
        <v/>
      </c>
      <c r="G185" s="7" t="n"/>
      <c r="H185" s="17">
        <f>IF(OR(A185="",B185=""),"",IF(COUNTIFS('Lançamentos Diários'!$A$5:$A$504,A185,'Lançamentos Diários'!$B$5:$B$504,B185)&gt;0,"OK","FALTA LANÇAMENTO"))</f>
        <v/>
      </c>
    </row>
    <row r="186">
      <c r="A186" s="14" t="n"/>
      <c r="B186" s="7" t="n"/>
      <c r="C186" s="15" t="n"/>
      <c r="D186" s="15" t="n"/>
      <c r="E186" s="7" t="n"/>
      <c r="F186" s="12">
        <f>IF(OR(C186="",D186=""),"",ROUND(MOD(D186-C186,1)*24,2))</f>
        <v/>
      </c>
      <c r="G186" s="7" t="n"/>
      <c r="H186" s="17">
        <f>IF(OR(A186="",B186=""),"",IF(COUNTIFS('Lançamentos Diários'!$A$5:$A$504,A186,'Lançamentos Diários'!$B$5:$B$504,B186)&gt;0,"OK","FALTA LANÇAMENTO"))</f>
        <v/>
      </c>
    </row>
    <row r="187">
      <c r="A187" s="14" t="n"/>
      <c r="B187" s="7" t="n"/>
      <c r="C187" s="15" t="n"/>
      <c r="D187" s="15" t="n"/>
      <c r="E187" s="7" t="n"/>
      <c r="F187" s="12">
        <f>IF(OR(C187="",D187=""),"",ROUND(MOD(D187-C187,1)*24,2))</f>
        <v/>
      </c>
      <c r="G187" s="7" t="n"/>
      <c r="H187" s="17">
        <f>IF(OR(A187="",B187=""),"",IF(COUNTIFS('Lançamentos Diários'!$A$5:$A$504,A187,'Lançamentos Diários'!$B$5:$B$504,B187)&gt;0,"OK","FALTA LANÇAMENTO"))</f>
        <v/>
      </c>
    </row>
    <row r="188">
      <c r="A188" s="14" t="n"/>
      <c r="B188" s="7" t="n"/>
      <c r="C188" s="15" t="n"/>
      <c r="D188" s="15" t="n"/>
      <c r="E188" s="7" t="n"/>
      <c r="F188" s="12">
        <f>IF(OR(C188="",D188=""),"",ROUND(MOD(D188-C188,1)*24,2))</f>
        <v/>
      </c>
      <c r="G188" s="7" t="n"/>
      <c r="H188" s="17">
        <f>IF(OR(A188="",B188=""),"",IF(COUNTIFS('Lançamentos Diários'!$A$5:$A$504,A188,'Lançamentos Diários'!$B$5:$B$504,B188)&gt;0,"OK","FALTA LANÇAMENTO"))</f>
        <v/>
      </c>
    </row>
    <row r="189">
      <c r="A189" s="14" t="n"/>
      <c r="B189" s="7" t="n"/>
      <c r="C189" s="15" t="n"/>
      <c r="D189" s="15" t="n"/>
      <c r="E189" s="7" t="n"/>
      <c r="F189" s="12">
        <f>IF(OR(C189="",D189=""),"",ROUND(MOD(D189-C189,1)*24,2))</f>
        <v/>
      </c>
      <c r="G189" s="7" t="n"/>
      <c r="H189" s="17">
        <f>IF(OR(A189="",B189=""),"",IF(COUNTIFS('Lançamentos Diários'!$A$5:$A$504,A189,'Lançamentos Diários'!$B$5:$B$504,B189)&gt;0,"OK","FALTA LANÇAMENTO"))</f>
        <v/>
      </c>
    </row>
    <row r="190">
      <c r="A190" s="14" t="n"/>
      <c r="B190" s="7" t="n"/>
      <c r="C190" s="15" t="n"/>
      <c r="D190" s="15" t="n"/>
      <c r="E190" s="7" t="n"/>
      <c r="F190" s="12">
        <f>IF(OR(C190="",D190=""),"",ROUND(MOD(D190-C190,1)*24,2))</f>
        <v/>
      </c>
      <c r="G190" s="7" t="n"/>
      <c r="H190" s="17">
        <f>IF(OR(A190="",B190=""),"",IF(COUNTIFS('Lançamentos Diários'!$A$5:$A$504,A190,'Lançamentos Diários'!$B$5:$B$504,B190)&gt;0,"OK","FALTA LANÇAMENTO"))</f>
        <v/>
      </c>
    </row>
    <row r="191">
      <c r="A191" s="14" t="n"/>
      <c r="B191" s="7" t="n"/>
      <c r="C191" s="15" t="n"/>
      <c r="D191" s="15" t="n"/>
      <c r="E191" s="7" t="n"/>
      <c r="F191" s="12">
        <f>IF(OR(C191="",D191=""),"",ROUND(MOD(D191-C191,1)*24,2))</f>
        <v/>
      </c>
      <c r="G191" s="7" t="n"/>
      <c r="H191" s="17">
        <f>IF(OR(A191="",B191=""),"",IF(COUNTIFS('Lançamentos Diários'!$A$5:$A$504,A191,'Lançamentos Diários'!$B$5:$B$504,B191)&gt;0,"OK","FALTA LANÇAMENTO"))</f>
        <v/>
      </c>
    </row>
    <row r="192">
      <c r="A192" s="14" t="n"/>
      <c r="B192" s="7" t="n"/>
      <c r="C192" s="15" t="n"/>
      <c r="D192" s="15" t="n"/>
      <c r="E192" s="7" t="n"/>
      <c r="F192" s="12">
        <f>IF(OR(C192="",D192=""),"",ROUND(MOD(D192-C192,1)*24,2))</f>
        <v/>
      </c>
      <c r="G192" s="7" t="n"/>
      <c r="H192" s="17">
        <f>IF(OR(A192="",B192=""),"",IF(COUNTIFS('Lançamentos Diários'!$A$5:$A$504,A192,'Lançamentos Diários'!$B$5:$B$504,B192)&gt;0,"OK","FALTA LANÇAMENTO"))</f>
        <v/>
      </c>
    </row>
    <row r="193">
      <c r="A193" s="14" t="n"/>
      <c r="B193" s="7" t="n"/>
      <c r="C193" s="15" t="n"/>
      <c r="D193" s="15" t="n"/>
      <c r="E193" s="7" t="n"/>
      <c r="F193" s="12">
        <f>IF(OR(C193="",D193=""),"",ROUND(MOD(D193-C193,1)*24,2))</f>
        <v/>
      </c>
      <c r="G193" s="7" t="n"/>
      <c r="H193" s="17">
        <f>IF(OR(A193="",B193=""),"",IF(COUNTIFS('Lançamentos Diários'!$A$5:$A$504,A193,'Lançamentos Diários'!$B$5:$B$504,B193)&gt;0,"OK","FALTA LANÇAMENTO"))</f>
        <v/>
      </c>
    </row>
    <row r="194">
      <c r="A194" s="14" t="n"/>
      <c r="B194" s="7" t="n"/>
      <c r="C194" s="15" t="n"/>
      <c r="D194" s="15" t="n"/>
      <c r="E194" s="7" t="n"/>
      <c r="F194" s="12">
        <f>IF(OR(C194="",D194=""),"",ROUND(MOD(D194-C194,1)*24,2))</f>
        <v/>
      </c>
      <c r="G194" s="7" t="n"/>
      <c r="H194" s="17">
        <f>IF(OR(A194="",B194=""),"",IF(COUNTIFS('Lançamentos Diários'!$A$5:$A$504,A194,'Lançamentos Diários'!$B$5:$B$504,B194)&gt;0,"OK","FALTA LANÇAMENTO"))</f>
        <v/>
      </c>
    </row>
    <row r="195">
      <c r="A195" s="14" t="n"/>
      <c r="B195" s="7" t="n"/>
      <c r="C195" s="15" t="n"/>
      <c r="D195" s="15" t="n"/>
      <c r="E195" s="7" t="n"/>
      <c r="F195" s="12">
        <f>IF(OR(C195="",D195=""),"",ROUND(MOD(D195-C195,1)*24,2))</f>
        <v/>
      </c>
      <c r="G195" s="7" t="n"/>
      <c r="H195" s="17">
        <f>IF(OR(A195="",B195=""),"",IF(COUNTIFS('Lançamentos Diários'!$A$5:$A$504,A195,'Lançamentos Diários'!$B$5:$B$504,B195)&gt;0,"OK","FALTA LANÇAMENTO"))</f>
        <v/>
      </c>
    </row>
    <row r="196">
      <c r="A196" s="14" t="n"/>
      <c r="B196" s="7" t="n"/>
      <c r="C196" s="15" t="n"/>
      <c r="D196" s="15" t="n"/>
      <c r="E196" s="7" t="n"/>
      <c r="F196" s="12">
        <f>IF(OR(C196="",D196=""),"",ROUND(MOD(D196-C196,1)*24,2))</f>
        <v/>
      </c>
      <c r="G196" s="7" t="n"/>
      <c r="H196" s="17">
        <f>IF(OR(A196="",B196=""),"",IF(COUNTIFS('Lançamentos Diários'!$A$5:$A$504,A196,'Lançamentos Diários'!$B$5:$B$504,B196)&gt;0,"OK","FALTA LANÇAMENTO"))</f>
        <v/>
      </c>
    </row>
    <row r="197">
      <c r="A197" s="14" t="n"/>
      <c r="B197" s="7" t="n"/>
      <c r="C197" s="15" t="n"/>
      <c r="D197" s="15" t="n"/>
      <c r="E197" s="7" t="n"/>
      <c r="F197" s="12">
        <f>IF(OR(C197="",D197=""),"",ROUND(MOD(D197-C197,1)*24,2))</f>
        <v/>
      </c>
      <c r="G197" s="7" t="n"/>
      <c r="H197" s="17">
        <f>IF(OR(A197="",B197=""),"",IF(COUNTIFS('Lançamentos Diários'!$A$5:$A$504,A197,'Lançamentos Diários'!$B$5:$B$504,B197)&gt;0,"OK","FALTA LANÇAMENTO"))</f>
        <v/>
      </c>
    </row>
    <row r="198">
      <c r="A198" s="14" t="n"/>
      <c r="B198" s="7" t="n"/>
      <c r="C198" s="15" t="n"/>
      <c r="D198" s="15" t="n"/>
      <c r="E198" s="7" t="n"/>
      <c r="F198" s="12">
        <f>IF(OR(C198="",D198=""),"",ROUND(MOD(D198-C198,1)*24,2))</f>
        <v/>
      </c>
      <c r="G198" s="7" t="n"/>
      <c r="H198" s="17">
        <f>IF(OR(A198="",B198=""),"",IF(COUNTIFS('Lançamentos Diários'!$A$5:$A$504,A198,'Lançamentos Diários'!$B$5:$B$504,B198)&gt;0,"OK","FALTA LANÇAMENTO"))</f>
        <v/>
      </c>
    </row>
    <row r="199">
      <c r="A199" s="14" t="n"/>
      <c r="B199" s="7" t="n"/>
      <c r="C199" s="15" t="n"/>
      <c r="D199" s="15" t="n"/>
      <c r="E199" s="7" t="n"/>
      <c r="F199" s="12">
        <f>IF(OR(C199="",D199=""),"",ROUND(MOD(D199-C199,1)*24,2))</f>
        <v/>
      </c>
      <c r="G199" s="7" t="n"/>
      <c r="H199" s="17">
        <f>IF(OR(A199="",B199=""),"",IF(COUNTIFS('Lançamentos Diários'!$A$5:$A$504,A199,'Lançamentos Diários'!$B$5:$B$504,B199)&gt;0,"OK","FALTA LANÇAMENTO"))</f>
        <v/>
      </c>
    </row>
    <row r="200">
      <c r="A200" s="14" t="n"/>
      <c r="B200" s="7" t="n"/>
      <c r="C200" s="15" t="n"/>
      <c r="D200" s="15" t="n"/>
      <c r="E200" s="7" t="n"/>
      <c r="F200" s="12">
        <f>IF(OR(C200="",D200=""),"",ROUND(MOD(D200-C200,1)*24,2))</f>
        <v/>
      </c>
      <c r="G200" s="7" t="n"/>
      <c r="H200" s="17">
        <f>IF(OR(A200="",B200=""),"",IF(COUNTIFS('Lançamentos Diários'!$A$5:$A$504,A200,'Lançamentos Diários'!$B$5:$B$504,B200)&gt;0,"OK","FALTA LANÇAMENTO"))</f>
        <v/>
      </c>
    </row>
    <row r="201">
      <c r="A201" s="14" t="n"/>
      <c r="B201" s="7" t="n"/>
      <c r="C201" s="15" t="n"/>
      <c r="D201" s="15" t="n"/>
      <c r="E201" s="7" t="n"/>
      <c r="F201" s="12">
        <f>IF(OR(C201="",D201=""),"",ROUND(MOD(D201-C201,1)*24,2))</f>
        <v/>
      </c>
      <c r="G201" s="7" t="n"/>
      <c r="H201" s="17">
        <f>IF(OR(A201="",B201=""),"",IF(COUNTIFS('Lançamentos Diários'!$A$5:$A$504,A201,'Lançamentos Diários'!$B$5:$B$504,B201)&gt;0,"OK","FALTA LANÇAMENTO"))</f>
        <v/>
      </c>
    </row>
    <row r="202">
      <c r="A202" s="14" t="n"/>
      <c r="B202" s="7" t="n"/>
      <c r="C202" s="15" t="n"/>
      <c r="D202" s="15" t="n"/>
      <c r="E202" s="7" t="n"/>
      <c r="F202" s="12">
        <f>IF(OR(C202="",D202=""),"",ROUND(MOD(D202-C202,1)*24,2))</f>
        <v/>
      </c>
      <c r="G202" s="7" t="n"/>
      <c r="H202" s="17">
        <f>IF(OR(A202="",B202=""),"",IF(COUNTIFS('Lançamentos Diários'!$A$5:$A$504,A202,'Lançamentos Diários'!$B$5:$B$504,B202)&gt;0,"OK","FALTA LANÇAMENTO"))</f>
        <v/>
      </c>
    </row>
    <row r="203">
      <c r="A203" s="14" t="n"/>
      <c r="B203" s="7" t="n"/>
      <c r="C203" s="15" t="n"/>
      <c r="D203" s="15" t="n"/>
      <c r="E203" s="7" t="n"/>
      <c r="F203" s="12">
        <f>IF(OR(C203="",D203=""),"",ROUND(MOD(D203-C203,1)*24,2))</f>
        <v/>
      </c>
      <c r="G203" s="7" t="n"/>
      <c r="H203" s="17">
        <f>IF(OR(A203="",B203=""),"",IF(COUNTIFS('Lançamentos Diários'!$A$5:$A$504,A203,'Lançamentos Diários'!$B$5:$B$504,B203)&gt;0,"OK","FALTA LANÇAMENTO"))</f>
        <v/>
      </c>
    </row>
    <row r="204">
      <c r="A204" s="14" t="n"/>
      <c r="B204" s="7" t="n"/>
      <c r="C204" s="15" t="n"/>
      <c r="D204" s="15" t="n"/>
      <c r="E204" s="7" t="n"/>
      <c r="F204" s="12">
        <f>IF(OR(C204="",D204=""),"",ROUND(MOD(D204-C204,1)*24,2))</f>
        <v/>
      </c>
      <c r="G204" s="7" t="n"/>
      <c r="H204" s="17">
        <f>IF(OR(A204="",B204=""),"",IF(COUNTIFS('Lançamentos Diários'!$A$5:$A$504,A204,'Lançamentos Diários'!$B$5:$B$504,B204)&gt;0,"OK","FALTA LANÇAMENTO"))</f>
        <v/>
      </c>
    </row>
    <row r="205">
      <c r="A205" s="14" t="n"/>
      <c r="B205" s="7" t="n"/>
      <c r="C205" s="15" t="n"/>
      <c r="D205" s="15" t="n"/>
      <c r="E205" s="7" t="n"/>
      <c r="F205" s="12">
        <f>IF(OR(C205="",D205=""),"",ROUND(MOD(D205-C205,1)*24,2))</f>
        <v/>
      </c>
      <c r="G205" s="7" t="n"/>
      <c r="H205" s="17">
        <f>IF(OR(A205="",B205=""),"",IF(COUNTIFS('Lançamentos Diários'!$A$5:$A$504,A205,'Lançamentos Diários'!$B$5:$B$504,B205)&gt;0,"OK","FALTA LANÇAMENTO"))</f>
        <v/>
      </c>
    </row>
    <row r="206">
      <c r="A206" s="14" t="n"/>
      <c r="B206" s="7" t="n"/>
      <c r="C206" s="15" t="n"/>
      <c r="D206" s="15" t="n"/>
      <c r="E206" s="7" t="n"/>
      <c r="F206" s="12">
        <f>IF(OR(C206="",D206=""),"",ROUND(MOD(D206-C206,1)*24,2))</f>
        <v/>
      </c>
      <c r="G206" s="7" t="n"/>
      <c r="H206" s="17">
        <f>IF(OR(A206="",B206=""),"",IF(COUNTIFS('Lançamentos Diários'!$A$5:$A$504,A206,'Lançamentos Diários'!$B$5:$B$504,B206)&gt;0,"OK","FALTA LANÇAMENTO"))</f>
        <v/>
      </c>
    </row>
    <row r="207">
      <c r="A207" s="14" t="n"/>
      <c r="B207" s="7" t="n"/>
      <c r="C207" s="15" t="n"/>
      <c r="D207" s="15" t="n"/>
      <c r="E207" s="7" t="n"/>
      <c r="F207" s="12">
        <f>IF(OR(C207="",D207=""),"",ROUND(MOD(D207-C207,1)*24,2))</f>
        <v/>
      </c>
      <c r="G207" s="7" t="n"/>
      <c r="H207" s="17">
        <f>IF(OR(A207="",B207=""),"",IF(COUNTIFS('Lançamentos Diários'!$A$5:$A$504,A207,'Lançamentos Diários'!$B$5:$B$504,B207)&gt;0,"OK","FALTA LANÇAMENTO"))</f>
        <v/>
      </c>
    </row>
    <row r="208">
      <c r="A208" s="14" t="n"/>
      <c r="B208" s="7" t="n"/>
      <c r="C208" s="15" t="n"/>
      <c r="D208" s="15" t="n"/>
      <c r="E208" s="7" t="n"/>
      <c r="F208" s="12">
        <f>IF(OR(C208="",D208=""),"",ROUND(MOD(D208-C208,1)*24,2))</f>
        <v/>
      </c>
      <c r="G208" s="7" t="n"/>
      <c r="H208" s="17">
        <f>IF(OR(A208="",B208=""),"",IF(COUNTIFS('Lançamentos Diários'!$A$5:$A$504,A208,'Lançamentos Diários'!$B$5:$B$504,B208)&gt;0,"OK","FALTA LANÇAMENTO"))</f>
        <v/>
      </c>
    </row>
    <row r="209">
      <c r="A209" s="14" t="n"/>
      <c r="B209" s="7" t="n"/>
      <c r="C209" s="15" t="n"/>
      <c r="D209" s="15" t="n"/>
      <c r="E209" s="7" t="n"/>
      <c r="F209" s="12">
        <f>IF(OR(C209="",D209=""),"",ROUND(MOD(D209-C209,1)*24,2))</f>
        <v/>
      </c>
      <c r="G209" s="7" t="n"/>
      <c r="H209" s="17">
        <f>IF(OR(A209="",B209=""),"",IF(COUNTIFS('Lançamentos Diários'!$A$5:$A$504,A209,'Lançamentos Diários'!$B$5:$B$504,B209)&gt;0,"OK","FALTA LANÇAMENTO"))</f>
        <v/>
      </c>
    </row>
    <row r="210">
      <c r="A210" s="14" t="n"/>
      <c r="B210" s="7" t="n"/>
      <c r="C210" s="15" t="n"/>
      <c r="D210" s="15" t="n"/>
      <c r="E210" s="7" t="n"/>
      <c r="F210" s="12">
        <f>IF(OR(C210="",D210=""),"",ROUND(MOD(D210-C210,1)*24,2))</f>
        <v/>
      </c>
      <c r="G210" s="7" t="n"/>
      <c r="H210" s="17">
        <f>IF(OR(A210="",B210=""),"",IF(COUNTIFS('Lançamentos Diários'!$A$5:$A$504,A210,'Lançamentos Diários'!$B$5:$B$504,B210)&gt;0,"OK","FALTA LANÇAMENTO"))</f>
        <v/>
      </c>
    </row>
    <row r="211">
      <c r="A211" s="14" t="n"/>
      <c r="B211" s="7" t="n"/>
      <c r="C211" s="15" t="n"/>
      <c r="D211" s="15" t="n"/>
      <c r="E211" s="7" t="n"/>
      <c r="F211" s="12">
        <f>IF(OR(C211="",D211=""),"",ROUND(MOD(D211-C211,1)*24,2))</f>
        <v/>
      </c>
      <c r="G211" s="7" t="n"/>
      <c r="H211" s="17">
        <f>IF(OR(A211="",B211=""),"",IF(COUNTIFS('Lançamentos Diários'!$A$5:$A$504,A211,'Lançamentos Diários'!$B$5:$B$504,B211)&gt;0,"OK","FALTA LANÇAMENTO"))</f>
        <v/>
      </c>
    </row>
    <row r="212">
      <c r="A212" s="14" t="n"/>
      <c r="B212" s="7" t="n"/>
      <c r="C212" s="15" t="n"/>
      <c r="D212" s="15" t="n"/>
      <c r="E212" s="7" t="n"/>
      <c r="F212" s="12">
        <f>IF(OR(C212="",D212=""),"",ROUND(MOD(D212-C212,1)*24,2))</f>
        <v/>
      </c>
      <c r="G212" s="7" t="n"/>
      <c r="H212" s="17">
        <f>IF(OR(A212="",B212=""),"",IF(COUNTIFS('Lançamentos Diários'!$A$5:$A$504,A212,'Lançamentos Diários'!$B$5:$B$504,B212)&gt;0,"OK","FALTA LANÇAMENTO"))</f>
        <v/>
      </c>
    </row>
    <row r="213">
      <c r="A213" s="14" t="n"/>
      <c r="B213" s="7" t="n"/>
      <c r="C213" s="15" t="n"/>
      <c r="D213" s="15" t="n"/>
      <c r="E213" s="7" t="n"/>
      <c r="F213" s="12">
        <f>IF(OR(C213="",D213=""),"",ROUND(MOD(D213-C213,1)*24,2))</f>
        <v/>
      </c>
      <c r="G213" s="7" t="n"/>
      <c r="H213" s="17">
        <f>IF(OR(A213="",B213=""),"",IF(COUNTIFS('Lançamentos Diários'!$A$5:$A$504,A213,'Lançamentos Diários'!$B$5:$B$504,B213)&gt;0,"OK","FALTA LANÇAMENTO"))</f>
        <v/>
      </c>
    </row>
    <row r="214">
      <c r="A214" s="14" t="n"/>
      <c r="B214" s="7" t="n"/>
      <c r="C214" s="15" t="n"/>
      <c r="D214" s="15" t="n"/>
      <c r="E214" s="7" t="n"/>
      <c r="F214" s="12">
        <f>IF(OR(C214="",D214=""),"",ROUND(MOD(D214-C214,1)*24,2))</f>
        <v/>
      </c>
      <c r="G214" s="7" t="n"/>
      <c r="H214" s="17">
        <f>IF(OR(A214="",B214=""),"",IF(COUNTIFS('Lançamentos Diários'!$A$5:$A$504,A214,'Lançamentos Diários'!$B$5:$B$504,B214)&gt;0,"OK","FALTA LANÇAMENTO"))</f>
        <v/>
      </c>
    </row>
    <row r="215">
      <c r="A215" s="14" t="n"/>
      <c r="B215" s="7" t="n"/>
      <c r="C215" s="15" t="n"/>
      <c r="D215" s="15" t="n"/>
      <c r="E215" s="7" t="n"/>
      <c r="F215" s="12">
        <f>IF(OR(C215="",D215=""),"",ROUND(MOD(D215-C215,1)*24,2))</f>
        <v/>
      </c>
      <c r="G215" s="7" t="n"/>
      <c r="H215" s="17">
        <f>IF(OR(A215="",B215=""),"",IF(COUNTIFS('Lançamentos Diários'!$A$5:$A$504,A215,'Lançamentos Diários'!$B$5:$B$504,B215)&gt;0,"OK","FALTA LANÇAMENTO"))</f>
        <v/>
      </c>
    </row>
    <row r="216">
      <c r="A216" s="14" t="n"/>
      <c r="B216" s="7" t="n"/>
      <c r="C216" s="15" t="n"/>
      <c r="D216" s="15" t="n"/>
      <c r="E216" s="7" t="n"/>
      <c r="F216" s="12">
        <f>IF(OR(C216="",D216=""),"",ROUND(MOD(D216-C216,1)*24,2))</f>
        <v/>
      </c>
      <c r="G216" s="7" t="n"/>
      <c r="H216" s="17">
        <f>IF(OR(A216="",B216=""),"",IF(COUNTIFS('Lançamentos Diários'!$A$5:$A$504,A216,'Lançamentos Diários'!$B$5:$B$504,B216)&gt;0,"OK","FALTA LANÇAMENTO"))</f>
        <v/>
      </c>
    </row>
    <row r="217">
      <c r="A217" s="14" t="n"/>
      <c r="B217" s="7" t="n"/>
      <c r="C217" s="15" t="n"/>
      <c r="D217" s="15" t="n"/>
      <c r="E217" s="7" t="n"/>
      <c r="F217" s="12">
        <f>IF(OR(C217="",D217=""),"",ROUND(MOD(D217-C217,1)*24,2))</f>
        <v/>
      </c>
      <c r="G217" s="7" t="n"/>
      <c r="H217" s="17">
        <f>IF(OR(A217="",B217=""),"",IF(COUNTIFS('Lançamentos Diários'!$A$5:$A$504,A217,'Lançamentos Diários'!$B$5:$B$504,B217)&gt;0,"OK","FALTA LANÇAMENTO"))</f>
        <v/>
      </c>
    </row>
    <row r="218">
      <c r="A218" s="14" t="n"/>
      <c r="B218" s="7" t="n"/>
      <c r="C218" s="15" t="n"/>
      <c r="D218" s="15" t="n"/>
      <c r="E218" s="7" t="n"/>
      <c r="F218" s="12">
        <f>IF(OR(C218="",D218=""),"",ROUND(MOD(D218-C218,1)*24,2))</f>
        <v/>
      </c>
      <c r="G218" s="7" t="n"/>
      <c r="H218" s="17">
        <f>IF(OR(A218="",B218=""),"",IF(COUNTIFS('Lançamentos Diários'!$A$5:$A$504,A218,'Lançamentos Diários'!$B$5:$B$504,B218)&gt;0,"OK","FALTA LANÇAMENTO"))</f>
        <v/>
      </c>
    </row>
    <row r="219">
      <c r="A219" s="14" t="n"/>
      <c r="B219" s="7" t="n"/>
      <c r="C219" s="15" t="n"/>
      <c r="D219" s="15" t="n"/>
      <c r="E219" s="7" t="n"/>
      <c r="F219" s="12">
        <f>IF(OR(C219="",D219=""),"",ROUND(MOD(D219-C219,1)*24,2))</f>
        <v/>
      </c>
      <c r="G219" s="7" t="n"/>
      <c r="H219" s="17">
        <f>IF(OR(A219="",B219=""),"",IF(COUNTIFS('Lançamentos Diários'!$A$5:$A$504,A219,'Lançamentos Diários'!$B$5:$B$504,B219)&gt;0,"OK","FALTA LANÇAMENTO"))</f>
        <v/>
      </c>
    </row>
    <row r="220">
      <c r="A220" s="14" t="n"/>
      <c r="B220" s="7" t="n"/>
      <c r="C220" s="15" t="n"/>
      <c r="D220" s="15" t="n"/>
      <c r="E220" s="7" t="n"/>
      <c r="F220" s="12">
        <f>IF(OR(C220="",D220=""),"",ROUND(MOD(D220-C220,1)*24,2))</f>
        <v/>
      </c>
      <c r="G220" s="7" t="n"/>
      <c r="H220" s="17">
        <f>IF(OR(A220="",B220=""),"",IF(COUNTIFS('Lançamentos Diários'!$A$5:$A$504,A220,'Lançamentos Diários'!$B$5:$B$504,B220)&gt;0,"OK","FALTA LANÇAMENTO"))</f>
        <v/>
      </c>
    </row>
    <row r="221">
      <c r="A221" s="14" t="n"/>
      <c r="B221" s="7" t="n"/>
      <c r="C221" s="15" t="n"/>
      <c r="D221" s="15" t="n"/>
      <c r="E221" s="7" t="n"/>
      <c r="F221" s="12">
        <f>IF(OR(C221="",D221=""),"",ROUND(MOD(D221-C221,1)*24,2))</f>
        <v/>
      </c>
      <c r="G221" s="7" t="n"/>
      <c r="H221" s="17">
        <f>IF(OR(A221="",B221=""),"",IF(COUNTIFS('Lançamentos Diários'!$A$5:$A$504,A221,'Lançamentos Diários'!$B$5:$B$504,B221)&gt;0,"OK","FALTA LANÇAMENTO"))</f>
        <v/>
      </c>
    </row>
    <row r="222">
      <c r="A222" s="14" t="n"/>
      <c r="B222" s="7" t="n"/>
      <c r="C222" s="15" t="n"/>
      <c r="D222" s="15" t="n"/>
      <c r="E222" s="7" t="n"/>
      <c r="F222" s="12">
        <f>IF(OR(C222="",D222=""),"",ROUND(MOD(D222-C222,1)*24,2))</f>
        <v/>
      </c>
      <c r="G222" s="7" t="n"/>
      <c r="H222" s="17">
        <f>IF(OR(A222="",B222=""),"",IF(COUNTIFS('Lançamentos Diários'!$A$5:$A$504,A222,'Lançamentos Diários'!$B$5:$B$504,B222)&gt;0,"OK","FALTA LANÇAMENTO"))</f>
        <v/>
      </c>
    </row>
    <row r="223">
      <c r="A223" s="14" t="n"/>
      <c r="B223" s="7" t="n"/>
      <c r="C223" s="15" t="n"/>
      <c r="D223" s="15" t="n"/>
      <c r="E223" s="7" t="n"/>
      <c r="F223" s="12">
        <f>IF(OR(C223="",D223=""),"",ROUND(MOD(D223-C223,1)*24,2))</f>
        <v/>
      </c>
      <c r="G223" s="7" t="n"/>
      <c r="H223" s="17">
        <f>IF(OR(A223="",B223=""),"",IF(COUNTIFS('Lançamentos Diários'!$A$5:$A$504,A223,'Lançamentos Diários'!$B$5:$B$504,B223)&gt;0,"OK","FALTA LANÇAMENTO"))</f>
        <v/>
      </c>
    </row>
    <row r="224">
      <c r="A224" s="14" t="n"/>
      <c r="B224" s="7" t="n"/>
      <c r="C224" s="15" t="n"/>
      <c r="D224" s="15" t="n"/>
      <c r="E224" s="7" t="n"/>
      <c r="F224" s="12">
        <f>IF(OR(C224="",D224=""),"",ROUND(MOD(D224-C224,1)*24,2))</f>
        <v/>
      </c>
      <c r="G224" s="7" t="n"/>
      <c r="H224" s="17">
        <f>IF(OR(A224="",B224=""),"",IF(COUNTIFS('Lançamentos Diários'!$A$5:$A$504,A224,'Lançamentos Diários'!$B$5:$B$504,B224)&gt;0,"OK","FALTA LANÇAMENTO"))</f>
        <v/>
      </c>
    </row>
    <row r="225">
      <c r="A225" s="14" t="n"/>
      <c r="B225" s="7" t="n"/>
      <c r="C225" s="15" t="n"/>
      <c r="D225" s="15" t="n"/>
      <c r="E225" s="7" t="n"/>
      <c r="F225" s="12">
        <f>IF(OR(C225="",D225=""),"",ROUND(MOD(D225-C225,1)*24,2))</f>
        <v/>
      </c>
      <c r="G225" s="7" t="n"/>
      <c r="H225" s="17">
        <f>IF(OR(A225="",B225=""),"",IF(COUNTIFS('Lançamentos Diários'!$A$5:$A$504,A225,'Lançamentos Diários'!$B$5:$B$504,B225)&gt;0,"OK","FALTA LANÇAMENTO"))</f>
        <v/>
      </c>
    </row>
    <row r="226">
      <c r="A226" s="14" t="n"/>
      <c r="B226" s="7" t="n"/>
      <c r="C226" s="15" t="n"/>
      <c r="D226" s="15" t="n"/>
      <c r="E226" s="7" t="n"/>
      <c r="F226" s="12">
        <f>IF(OR(C226="",D226=""),"",ROUND(MOD(D226-C226,1)*24,2))</f>
        <v/>
      </c>
      <c r="G226" s="7" t="n"/>
      <c r="H226" s="17">
        <f>IF(OR(A226="",B226=""),"",IF(COUNTIFS('Lançamentos Diários'!$A$5:$A$504,A226,'Lançamentos Diários'!$B$5:$B$504,B226)&gt;0,"OK","FALTA LANÇAMENTO"))</f>
        <v/>
      </c>
    </row>
    <row r="227">
      <c r="A227" s="14" t="n"/>
      <c r="B227" s="7" t="n"/>
      <c r="C227" s="15" t="n"/>
      <c r="D227" s="15" t="n"/>
      <c r="E227" s="7" t="n"/>
      <c r="F227" s="12">
        <f>IF(OR(C227="",D227=""),"",ROUND(MOD(D227-C227,1)*24,2))</f>
        <v/>
      </c>
      <c r="G227" s="7" t="n"/>
      <c r="H227" s="17">
        <f>IF(OR(A227="",B227=""),"",IF(COUNTIFS('Lançamentos Diários'!$A$5:$A$504,A227,'Lançamentos Diários'!$B$5:$B$504,B227)&gt;0,"OK","FALTA LANÇAMENTO"))</f>
        <v/>
      </c>
    </row>
    <row r="228">
      <c r="A228" s="14" t="n"/>
      <c r="B228" s="7" t="n"/>
      <c r="C228" s="15" t="n"/>
      <c r="D228" s="15" t="n"/>
      <c r="E228" s="7" t="n"/>
      <c r="F228" s="12">
        <f>IF(OR(C228="",D228=""),"",ROUND(MOD(D228-C228,1)*24,2))</f>
        <v/>
      </c>
      <c r="G228" s="7" t="n"/>
      <c r="H228" s="17">
        <f>IF(OR(A228="",B228=""),"",IF(COUNTIFS('Lançamentos Diários'!$A$5:$A$504,A228,'Lançamentos Diários'!$B$5:$B$504,B228)&gt;0,"OK","FALTA LANÇAMENTO"))</f>
        <v/>
      </c>
    </row>
    <row r="229">
      <c r="A229" s="14" t="n"/>
      <c r="B229" s="7" t="n"/>
      <c r="C229" s="15" t="n"/>
      <c r="D229" s="15" t="n"/>
      <c r="E229" s="7" t="n"/>
      <c r="F229" s="12">
        <f>IF(OR(C229="",D229=""),"",ROUND(MOD(D229-C229,1)*24,2))</f>
        <v/>
      </c>
      <c r="G229" s="7" t="n"/>
      <c r="H229" s="17">
        <f>IF(OR(A229="",B229=""),"",IF(COUNTIFS('Lançamentos Diários'!$A$5:$A$504,A229,'Lançamentos Diários'!$B$5:$B$504,B229)&gt;0,"OK","FALTA LANÇAMENTO"))</f>
        <v/>
      </c>
    </row>
    <row r="230">
      <c r="A230" s="14" t="n"/>
      <c r="B230" s="7" t="n"/>
      <c r="C230" s="15" t="n"/>
      <c r="D230" s="15" t="n"/>
      <c r="E230" s="7" t="n"/>
      <c r="F230" s="12">
        <f>IF(OR(C230="",D230=""),"",ROUND(MOD(D230-C230,1)*24,2))</f>
        <v/>
      </c>
      <c r="G230" s="7" t="n"/>
      <c r="H230" s="17">
        <f>IF(OR(A230="",B230=""),"",IF(COUNTIFS('Lançamentos Diários'!$A$5:$A$504,A230,'Lançamentos Diários'!$B$5:$B$504,B230)&gt;0,"OK","FALTA LANÇAMENTO"))</f>
        <v/>
      </c>
    </row>
    <row r="231">
      <c r="A231" s="14" t="n"/>
      <c r="B231" s="7" t="n"/>
      <c r="C231" s="15" t="n"/>
      <c r="D231" s="15" t="n"/>
      <c r="E231" s="7" t="n"/>
      <c r="F231" s="12">
        <f>IF(OR(C231="",D231=""),"",ROUND(MOD(D231-C231,1)*24,2))</f>
        <v/>
      </c>
      <c r="G231" s="7" t="n"/>
      <c r="H231" s="17">
        <f>IF(OR(A231="",B231=""),"",IF(COUNTIFS('Lançamentos Diários'!$A$5:$A$504,A231,'Lançamentos Diários'!$B$5:$B$504,B231)&gt;0,"OK","FALTA LANÇAMENTO"))</f>
        <v/>
      </c>
    </row>
    <row r="232">
      <c r="A232" s="14" t="n"/>
      <c r="B232" s="7" t="n"/>
      <c r="C232" s="15" t="n"/>
      <c r="D232" s="15" t="n"/>
      <c r="E232" s="7" t="n"/>
      <c r="F232" s="12">
        <f>IF(OR(C232="",D232=""),"",ROUND(MOD(D232-C232,1)*24,2))</f>
        <v/>
      </c>
      <c r="G232" s="7" t="n"/>
      <c r="H232" s="17">
        <f>IF(OR(A232="",B232=""),"",IF(COUNTIFS('Lançamentos Diários'!$A$5:$A$504,A232,'Lançamentos Diários'!$B$5:$B$504,B232)&gt;0,"OK","FALTA LANÇAMENTO"))</f>
        <v/>
      </c>
    </row>
    <row r="233">
      <c r="A233" s="14" t="n"/>
      <c r="B233" s="7" t="n"/>
      <c r="C233" s="15" t="n"/>
      <c r="D233" s="15" t="n"/>
      <c r="E233" s="7" t="n"/>
      <c r="F233" s="12">
        <f>IF(OR(C233="",D233=""),"",ROUND(MOD(D233-C233,1)*24,2))</f>
        <v/>
      </c>
      <c r="G233" s="7" t="n"/>
      <c r="H233" s="17">
        <f>IF(OR(A233="",B233=""),"",IF(COUNTIFS('Lançamentos Diários'!$A$5:$A$504,A233,'Lançamentos Diários'!$B$5:$B$504,B233)&gt;0,"OK","FALTA LANÇAMENTO"))</f>
        <v/>
      </c>
    </row>
    <row r="234">
      <c r="A234" s="14" t="n"/>
      <c r="B234" s="7" t="n"/>
      <c r="C234" s="15" t="n"/>
      <c r="D234" s="15" t="n"/>
      <c r="E234" s="7" t="n"/>
      <c r="F234" s="12">
        <f>IF(OR(C234="",D234=""),"",ROUND(MOD(D234-C234,1)*24,2))</f>
        <v/>
      </c>
      <c r="G234" s="7" t="n"/>
      <c r="H234" s="17">
        <f>IF(OR(A234="",B234=""),"",IF(COUNTIFS('Lançamentos Diários'!$A$5:$A$504,A234,'Lançamentos Diários'!$B$5:$B$504,B234)&gt;0,"OK","FALTA LANÇAMENTO"))</f>
        <v/>
      </c>
    </row>
    <row r="235">
      <c r="A235" s="14" t="n"/>
      <c r="B235" s="7" t="n"/>
      <c r="C235" s="15" t="n"/>
      <c r="D235" s="15" t="n"/>
      <c r="E235" s="7" t="n"/>
      <c r="F235" s="12">
        <f>IF(OR(C235="",D235=""),"",ROUND(MOD(D235-C235,1)*24,2))</f>
        <v/>
      </c>
      <c r="G235" s="7" t="n"/>
      <c r="H235" s="17">
        <f>IF(OR(A235="",B235=""),"",IF(COUNTIFS('Lançamentos Diários'!$A$5:$A$504,A235,'Lançamentos Diários'!$B$5:$B$504,B235)&gt;0,"OK","FALTA LANÇAMENTO"))</f>
        <v/>
      </c>
    </row>
    <row r="236">
      <c r="A236" s="14" t="n"/>
      <c r="B236" s="7" t="n"/>
      <c r="C236" s="15" t="n"/>
      <c r="D236" s="15" t="n"/>
      <c r="E236" s="7" t="n"/>
      <c r="F236" s="12">
        <f>IF(OR(C236="",D236=""),"",ROUND(MOD(D236-C236,1)*24,2))</f>
        <v/>
      </c>
      <c r="G236" s="7" t="n"/>
      <c r="H236" s="17">
        <f>IF(OR(A236="",B236=""),"",IF(COUNTIFS('Lançamentos Diários'!$A$5:$A$504,A236,'Lançamentos Diários'!$B$5:$B$504,B236)&gt;0,"OK","FALTA LANÇAMENTO"))</f>
        <v/>
      </c>
    </row>
    <row r="237">
      <c r="A237" s="14" t="n"/>
      <c r="B237" s="7" t="n"/>
      <c r="C237" s="15" t="n"/>
      <c r="D237" s="15" t="n"/>
      <c r="E237" s="7" t="n"/>
      <c r="F237" s="12">
        <f>IF(OR(C237="",D237=""),"",ROUND(MOD(D237-C237,1)*24,2))</f>
        <v/>
      </c>
      <c r="G237" s="7" t="n"/>
      <c r="H237" s="17">
        <f>IF(OR(A237="",B237=""),"",IF(COUNTIFS('Lançamentos Diários'!$A$5:$A$504,A237,'Lançamentos Diários'!$B$5:$B$504,B237)&gt;0,"OK","FALTA LANÇAMENTO"))</f>
        <v/>
      </c>
    </row>
    <row r="238">
      <c r="A238" s="14" t="n"/>
      <c r="B238" s="7" t="n"/>
      <c r="C238" s="15" t="n"/>
      <c r="D238" s="15" t="n"/>
      <c r="E238" s="7" t="n"/>
      <c r="F238" s="12">
        <f>IF(OR(C238="",D238=""),"",ROUND(MOD(D238-C238,1)*24,2))</f>
        <v/>
      </c>
      <c r="G238" s="7" t="n"/>
      <c r="H238" s="17">
        <f>IF(OR(A238="",B238=""),"",IF(COUNTIFS('Lançamentos Diários'!$A$5:$A$504,A238,'Lançamentos Diários'!$B$5:$B$504,B238)&gt;0,"OK","FALTA LANÇAMENTO"))</f>
        <v/>
      </c>
    </row>
    <row r="239">
      <c r="A239" s="14" t="n"/>
      <c r="B239" s="7" t="n"/>
      <c r="C239" s="15" t="n"/>
      <c r="D239" s="15" t="n"/>
      <c r="E239" s="7" t="n"/>
      <c r="F239" s="12">
        <f>IF(OR(C239="",D239=""),"",ROUND(MOD(D239-C239,1)*24,2))</f>
        <v/>
      </c>
      <c r="G239" s="7" t="n"/>
      <c r="H239" s="17">
        <f>IF(OR(A239="",B239=""),"",IF(COUNTIFS('Lançamentos Diários'!$A$5:$A$504,A239,'Lançamentos Diários'!$B$5:$B$504,B239)&gt;0,"OK","FALTA LANÇAMENTO"))</f>
        <v/>
      </c>
    </row>
    <row r="240">
      <c r="A240" s="14" t="n"/>
      <c r="B240" s="7" t="n"/>
      <c r="C240" s="15" t="n"/>
      <c r="D240" s="15" t="n"/>
      <c r="E240" s="7" t="n"/>
      <c r="F240" s="12">
        <f>IF(OR(C240="",D240=""),"",ROUND(MOD(D240-C240,1)*24,2))</f>
        <v/>
      </c>
      <c r="G240" s="7" t="n"/>
      <c r="H240" s="17">
        <f>IF(OR(A240="",B240=""),"",IF(COUNTIFS('Lançamentos Diários'!$A$5:$A$504,A240,'Lançamentos Diários'!$B$5:$B$504,B240)&gt;0,"OK","FALTA LANÇAMENTO"))</f>
        <v/>
      </c>
    </row>
    <row r="241">
      <c r="A241" s="14" t="n"/>
      <c r="B241" s="7" t="n"/>
      <c r="C241" s="15" t="n"/>
      <c r="D241" s="15" t="n"/>
      <c r="E241" s="7" t="n"/>
      <c r="F241" s="12">
        <f>IF(OR(C241="",D241=""),"",ROUND(MOD(D241-C241,1)*24,2))</f>
        <v/>
      </c>
      <c r="G241" s="7" t="n"/>
      <c r="H241" s="17">
        <f>IF(OR(A241="",B241=""),"",IF(COUNTIFS('Lançamentos Diários'!$A$5:$A$504,A241,'Lançamentos Diários'!$B$5:$B$504,B241)&gt;0,"OK","FALTA LANÇAMENTO"))</f>
        <v/>
      </c>
    </row>
    <row r="242">
      <c r="A242" s="14" t="n"/>
      <c r="B242" s="7" t="n"/>
      <c r="C242" s="15" t="n"/>
      <c r="D242" s="15" t="n"/>
      <c r="E242" s="7" t="n"/>
      <c r="F242" s="12">
        <f>IF(OR(C242="",D242=""),"",ROUND(MOD(D242-C242,1)*24,2))</f>
        <v/>
      </c>
      <c r="G242" s="7" t="n"/>
      <c r="H242" s="17">
        <f>IF(OR(A242="",B242=""),"",IF(COUNTIFS('Lançamentos Diários'!$A$5:$A$504,A242,'Lançamentos Diários'!$B$5:$B$504,B242)&gt;0,"OK","FALTA LANÇAMENTO"))</f>
        <v/>
      </c>
    </row>
    <row r="243">
      <c r="A243" s="14" t="n"/>
      <c r="B243" s="7" t="n"/>
      <c r="C243" s="15" t="n"/>
      <c r="D243" s="15" t="n"/>
      <c r="E243" s="7" t="n"/>
      <c r="F243" s="12">
        <f>IF(OR(C243="",D243=""),"",ROUND(MOD(D243-C243,1)*24,2))</f>
        <v/>
      </c>
      <c r="G243" s="7" t="n"/>
      <c r="H243" s="17">
        <f>IF(OR(A243="",B243=""),"",IF(COUNTIFS('Lançamentos Diários'!$A$5:$A$504,A243,'Lançamentos Diários'!$B$5:$B$504,B243)&gt;0,"OK","FALTA LANÇAMENTO"))</f>
        <v/>
      </c>
    </row>
    <row r="244">
      <c r="A244" s="14" t="n"/>
      <c r="B244" s="7" t="n"/>
      <c r="C244" s="15" t="n"/>
      <c r="D244" s="15" t="n"/>
      <c r="E244" s="7" t="n"/>
      <c r="F244" s="12">
        <f>IF(OR(C244="",D244=""),"",ROUND(MOD(D244-C244,1)*24,2))</f>
        <v/>
      </c>
      <c r="G244" s="7" t="n"/>
      <c r="H244" s="17">
        <f>IF(OR(A244="",B244=""),"",IF(COUNTIFS('Lançamentos Diários'!$A$5:$A$504,A244,'Lançamentos Diários'!$B$5:$B$504,B244)&gt;0,"OK","FALTA LANÇAMENTO"))</f>
        <v/>
      </c>
    </row>
    <row r="245">
      <c r="A245" s="14" t="n"/>
      <c r="B245" s="7" t="n"/>
      <c r="C245" s="15" t="n"/>
      <c r="D245" s="15" t="n"/>
      <c r="E245" s="7" t="n"/>
      <c r="F245" s="12">
        <f>IF(OR(C245="",D245=""),"",ROUND(MOD(D245-C245,1)*24,2))</f>
        <v/>
      </c>
      <c r="G245" s="7" t="n"/>
      <c r="H245" s="17">
        <f>IF(OR(A245="",B245=""),"",IF(COUNTIFS('Lançamentos Diários'!$A$5:$A$504,A245,'Lançamentos Diários'!$B$5:$B$504,B245)&gt;0,"OK","FALTA LANÇAMENTO"))</f>
        <v/>
      </c>
    </row>
    <row r="246">
      <c r="A246" s="14" t="n"/>
      <c r="B246" s="7" t="n"/>
      <c r="C246" s="15" t="n"/>
      <c r="D246" s="15" t="n"/>
      <c r="E246" s="7" t="n"/>
      <c r="F246" s="12">
        <f>IF(OR(C246="",D246=""),"",ROUND(MOD(D246-C246,1)*24,2))</f>
        <v/>
      </c>
      <c r="G246" s="7" t="n"/>
      <c r="H246" s="17">
        <f>IF(OR(A246="",B246=""),"",IF(COUNTIFS('Lançamentos Diários'!$A$5:$A$504,A246,'Lançamentos Diários'!$B$5:$B$504,B246)&gt;0,"OK","FALTA LANÇAMENTO"))</f>
        <v/>
      </c>
    </row>
    <row r="247">
      <c r="A247" s="14" t="n"/>
      <c r="B247" s="7" t="n"/>
      <c r="C247" s="15" t="n"/>
      <c r="D247" s="15" t="n"/>
      <c r="E247" s="7" t="n"/>
      <c r="F247" s="12">
        <f>IF(OR(C247="",D247=""),"",ROUND(MOD(D247-C247,1)*24,2))</f>
        <v/>
      </c>
      <c r="G247" s="7" t="n"/>
      <c r="H247" s="17">
        <f>IF(OR(A247="",B247=""),"",IF(COUNTIFS('Lançamentos Diários'!$A$5:$A$504,A247,'Lançamentos Diários'!$B$5:$B$504,B247)&gt;0,"OK","FALTA LANÇAMENTO"))</f>
        <v/>
      </c>
    </row>
    <row r="248">
      <c r="A248" s="14" t="n"/>
      <c r="B248" s="7" t="n"/>
      <c r="C248" s="15" t="n"/>
      <c r="D248" s="15" t="n"/>
      <c r="E248" s="7" t="n"/>
      <c r="F248" s="12">
        <f>IF(OR(C248="",D248=""),"",ROUND(MOD(D248-C248,1)*24,2))</f>
        <v/>
      </c>
      <c r="G248" s="7" t="n"/>
      <c r="H248" s="17">
        <f>IF(OR(A248="",B248=""),"",IF(COUNTIFS('Lançamentos Diários'!$A$5:$A$504,A248,'Lançamentos Diários'!$B$5:$B$504,B248)&gt;0,"OK","FALTA LANÇAMENTO"))</f>
        <v/>
      </c>
    </row>
    <row r="249">
      <c r="A249" s="14" t="n"/>
      <c r="B249" s="7" t="n"/>
      <c r="C249" s="15" t="n"/>
      <c r="D249" s="15" t="n"/>
      <c r="E249" s="7" t="n"/>
      <c r="F249" s="12">
        <f>IF(OR(C249="",D249=""),"",ROUND(MOD(D249-C249,1)*24,2))</f>
        <v/>
      </c>
      <c r="G249" s="7" t="n"/>
      <c r="H249" s="17">
        <f>IF(OR(A249="",B249=""),"",IF(COUNTIFS('Lançamentos Diários'!$A$5:$A$504,A249,'Lançamentos Diários'!$B$5:$B$504,B249)&gt;0,"OK","FALTA LANÇAMENTO"))</f>
        <v/>
      </c>
    </row>
    <row r="250">
      <c r="A250" s="14" t="n"/>
      <c r="B250" s="7" t="n"/>
      <c r="C250" s="15" t="n"/>
      <c r="D250" s="15" t="n"/>
      <c r="E250" s="7" t="n"/>
      <c r="F250" s="12">
        <f>IF(OR(C250="",D250=""),"",ROUND(MOD(D250-C250,1)*24,2))</f>
        <v/>
      </c>
      <c r="G250" s="7" t="n"/>
      <c r="H250" s="17">
        <f>IF(OR(A250="",B250=""),"",IF(COUNTIFS('Lançamentos Diários'!$A$5:$A$504,A250,'Lançamentos Diários'!$B$5:$B$504,B250)&gt;0,"OK","FALTA LANÇAMENTO"))</f>
        <v/>
      </c>
    </row>
    <row r="251">
      <c r="A251" s="14" t="n"/>
      <c r="B251" s="7" t="n"/>
      <c r="C251" s="15" t="n"/>
      <c r="D251" s="15" t="n"/>
      <c r="E251" s="7" t="n"/>
      <c r="F251" s="12">
        <f>IF(OR(C251="",D251=""),"",ROUND(MOD(D251-C251,1)*24,2))</f>
        <v/>
      </c>
      <c r="G251" s="7" t="n"/>
      <c r="H251" s="17">
        <f>IF(OR(A251="",B251=""),"",IF(COUNTIFS('Lançamentos Diários'!$A$5:$A$504,A251,'Lançamentos Diários'!$B$5:$B$504,B251)&gt;0,"OK","FALTA LANÇAMENTO"))</f>
        <v/>
      </c>
    </row>
    <row r="252">
      <c r="A252" s="14" t="n"/>
      <c r="B252" s="7" t="n"/>
      <c r="C252" s="15" t="n"/>
      <c r="D252" s="15" t="n"/>
      <c r="E252" s="7" t="n"/>
      <c r="F252" s="12">
        <f>IF(OR(C252="",D252=""),"",ROUND(MOD(D252-C252,1)*24,2))</f>
        <v/>
      </c>
      <c r="G252" s="7" t="n"/>
      <c r="H252" s="17">
        <f>IF(OR(A252="",B252=""),"",IF(COUNTIFS('Lançamentos Diários'!$A$5:$A$504,A252,'Lançamentos Diários'!$B$5:$B$504,B252)&gt;0,"OK","FALTA LANÇAMENTO"))</f>
        <v/>
      </c>
    </row>
    <row r="253">
      <c r="A253" s="14" t="n"/>
      <c r="B253" s="7" t="n"/>
      <c r="C253" s="15" t="n"/>
      <c r="D253" s="15" t="n"/>
      <c r="E253" s="7" t="n"/>
      <c r="F253" s="12">
        <f>IF(OR(C253="",D253=""),"",ROUND(MOD(D253-C253,1)*24,2))</f>
        <v/>
      </c>
      <c r="G253" s="7" t="n"/>
      <c r="H253" s="17">
        <f>IF(OR(A253="",B253=""),"",IF(COUNTIFS('Lançamentos Diários'!$A$5:$A$504,A253,'Lançamentos Diários'!$B$5:$B$504,B253)&gt;0,"OK","FALTA LANÇAMENTO"))</f>
        <v/>
      </c>
    </row>
    <row r="254">
      <c r="A254" s="14" t="n"/>
      <c r="B254" s="7" t="n"/>
      <c r="C254" s="15" t="n"/>
      <c r="D254" s="15" t="n"/>
      <c r="E254" s="7" t="n"/>
      <c r="F254" s="12">
        <f>IF(OR(C254="",D254=""),"",ROUND(MOD(D254-C254,1)*24,2))</f>
        <v/>
      </c>
      <c r="G254" s="7" t="n"/>
      <c r="H254" s="17">
        <f>IF(OR(A254="",B254=""),"",IF(COUNTIFS('Lançamentos Diários'!$A$5:$A$504,A254,'Lançamentos Diários'!$B$5:$B$504,B254)&gt;0,"OK","FALTA LANÇAMENTO"))</f>
        <v/>
      </c>
    </row>
    <row r="255">
      <c r="A255" s="14" t="n"/>
      <c r="B255" s="7" t="n"/>
      <c r="C255" s="15" t="n"/>
      <c r="D255" s="15" t="n"/>
      <c r="E255" s="7" t="n"/>
      <c r="F255" s="12">
        <f>IF(OR(C255="",D255=""),"",ROUND(MOD(D255-C255,1)*24,2))</f>
        <v/>
      </c>
      <c r="G255" s="7" t="n"/>
      <c r="H255" s="17">
        <f>IF(OR(A255="",B255=""),"",IF(COUNTIFS('Lançamentos Diários'!$A$5:$A$504,A255,'Lançamentos Diários'!$B$5:$B$504,B255)&gt;0,"OK","FALTA LANÇAMENTO"))</f>
        <v/>
      </c>
    </row>
    <row r="256">
      <c r="A256" s="14" t="n"/>
      <c r="B256" s="7" t="n"/>
      <c r="C256" s="15" t="n"/>
      <c r="D256" s="15" t="n"/>
      <c r="E256" s="7" t="n"/>
      <c r="F256" s="12">
        <f>IF(OR(C256="",D256=""),"",ROUND(MOD(D256-C256,1)*24,2))</f>
        <v/>
      </c>
      <c r="G256" s="7" t="n"/>
      <c r="H256" s="17">
        <f>IF(OR(A256="",B256=""),"",IF(COUNTIFS('Lançamentos Diários'!$A$5:$A$504,A256,'Lançamentos Diários'!$B$5:$B$504,B256)&gt;0,"OK","FALTA LANÇAMENTO"))</f>
        <v/>
      </c>
    </row>
    <row r="257">
      <c r="A257" s="14" t="n"/>
      <c r="B257" s="7" t="n"/>
      <c r="C257" s="15" t="n"/>
      <c r="D257" s="15" t="n"/>
      <c r="E257" s="7" t="n"/>
      <c r="F257" s="12">
        <f>IF(OR(C257="",D257=""),"",ROUND(MOD(D257-C257,1)*24,2))</f>
        <v/>
      </c>
      <c r="G257" s="7" t="n"/>
      <c r="H257" s="17">
        <f>IF(OR(A257="",B257=""),"",IF(COUNTIFS('Lançamentos Diários'!$A$5:$A$504,A257,'Lançamentos Diários'!$B$5:$B$504,B257)&gt;0,"OK","FALTA LANÇAMENTO"))</f>
        <v/>
      </c>
    </row>
    <row r="258">
      <c r="A258" s="14" t="n"/>
      <c r="B258" s="7" t="n"/>
      <c r="C258" s="15" t="n"/>
      <c r="D258" s="15" t="n"/>
      <c r="E258" s="7" t="n"/>
      <c r="F258" s="12">
        <f>IF(OR(C258="",D258=""),"",ROUND(MOD(D258-C258,1)*24,2))</f>
        <v/>
      </c>
      <c r="G258" s="7" t="n"/>
      <c r="H258" s="17">
        <f>IF(OR(A258="",B258=""),"",IF(COUNTIFS('Lançamentos Diários'!$A$5:$A$504,A258,'Lançamentos Diários'!$B$5:$B$504,B258)&gt;0,"OK","FALTA LANÇAMENTO"))</f>
        <v/>
      </c>
    </row>
    <row r="259">
      <c r="A259" s="14" t="n"/>
      <c r="B259" s="7" t="n"/>
      <c r="C259" s="15" t="n"/>
      <c r="D259" s="15" t="n"/>
      <c r="E259" s="7" t="n"/>
      <c r="F259" s="12">
        <f>IF(OR(C259="",D259=""),"",ROUND(MOD(D259-C259,1)*24,2))</f>
        <v/>
      </c>
      <c r="G259" s="7" t="n"/>
      <c r="H259" s="17">
        <f>IF(OR(A259="",B259=""),"",IF(COUNTIFS('Lançamentos Diários'!$A$5:$A$504,A259,'Lançamentos Diários'!$B$5:$B$504,B259)&gt;0,"OK","FALTA LANÇAMENTO"))</f>
        <v/>
      </c>
    </row>
    <row r="260">
      <c r="A260" s="14" t="n"/>
      <c r="B260" s="7" t="n"/>
      <c r="C260" s="15" t="n"/>
      <c r="D260" s="15" t="n"/>
      <c r="E260" s="7" t="n"/>
      <c r="F260" s="12">
        <f>IF(OR(C260="",D260=""),"",ROUND(MOD(D260-C260,1)*24,2))</f>
        <v/>
      </c>
      <c r="G260" s="7" t="n"/>
      <c r="H260" s="17">
        <f>IF(OR(A260="",B260=""),"",IF(COUNTIFS('Lançamentos Diários'!$A$5:$A$504,A260,'Lançamentos Diários'!$B$5:$B$504,B260)&gt;0,"OK","FALTA LANÇAMENTO"))</f>
        <v/>
      </c>
    </row>
    <row r="261">
      <c r="A261" s="14" t="n"/>
      <c r="B261" s="7" t="n"/>
      <c r="C261" s="15" t="n"/>
      <c r="D261" s="15" t="n"/>
      <c r="E261" s="7" t="n"/>
      <c r="F261" s="12">
        <f>IF(OR(C261="",D261=""),"",ROUND(MOD(D261-C261,1)*24,2))</f>
        <v/>
      </c>
      <c r="G261" s="7" t="n"/>
      <c r="H261" s="17">
        <f>IF(OR(A261="",B261=""),"",IF(COUNTIFS('Lançamentos Diários'!$A$5:$A$504,A261,'Lançamentos Diários'!$B$5:$B$504,B261)&gt;0,"OK","FALTA LANÇAMENTO"))</f>
        <v/>
      </c>
    </row>
    <row r="262">
      <c r="A262" s="14" t="n"/>
      <c r="B262" s="7" t="n"/>
      <c r="C262" s="15" t="n"/>
      <c r="D262" s="15" t="n"/>
      <c r="E262" s="7" t="n"/>
      <c r="F262" s="12">
        <f>IF(OR(C262="",D262=""),"",ROUND(MOD(D262-C262,1)*24,2))</f>
        <v/>
      </c>
      <c r="G262" s="7" t="n"/>
      <c r="H262" s="17">
        <f>IF(OR(A262="",B262=""),"",IF(COUNTIFS('Lançamentos Diários'!$A$5:$A$504,A262,'Lançamentos Diários'!$B$5:$B$504,B262)&gt;0,"OK","FALTA LANÇAMENTO"))</f>
        <v/>
      </c>
    </row>
    <row r="263">
      <c r="A263" s="14" t="n"/>
      <c r="B263" s="7" t="n"/>
      <c r="C263" s="15" t="n"/>
      <c r="D263" s="15" t="n"/>
      <c r="E263" s="7" t="n"/>
      <c r="F263" s="12">
        <f>IF(OR(C263="",D263=""),"",ROUND(MOD(D263-C263,1)*24,2))</f>
        <v/>
      </c>
      <c r="G263" s="7" t="n"/>
      <c r="H263" s="17">
        <f>IF(OR(A263="",B263=""),"",IF(COUNTIFS('Lançamentos Diários'!$A$5:$A$504,A263,'Lançamentos Diários'!$B$5:$B$504,B263)&gt;0,"OK","FALTA LANÇAMENTO"))</f>
        <v/>
      </c>
    </row>
    <row r="264">
      <c r="A264" s="14" t="n"/>
      <c r="B264" s="7" t="n"/>
      <c r="C264" s="15" t="n"/>
      <c r="D264" s="15" t="n"/>
      <c r="E264" s="7" t="n"/>
      <c r="F264" s="12">
        <f>IF(OR(C264="",D264=""),"",ROUND(MOD(D264-C264,1)*24,2))</f>
        <v/>
      </c>
      <c r="G264" s="7" t="n"/>
      <c r="H264" s="17">
        <f>IF(OR(A264="",B264=""),"",IF(COUNTIFS('Lançamentos Diários'!$A$5:$A$504,A264,'Lançamentos Diários'!$B$5:$B$504,B264)&gt;0,"OK","FALTA LANÇAMENTO"))</f>
        <v/>
      </c>
    </row>
    <row r="265">
      <c r="A265" s="14" t="n"/>
      <c r="B265" s="7" t="n"/>
      <c r="C265" s="15" t="n"/>
      <c r="D265" s="15" t="n"/>
      <c r="E265" s="7" t="n"/>
      <c r="F265" s="12">
        <f>IF(OR(C265="",D265=""),"",ROUND(MOD(D265-C265,1)*24,2))</f>
        <v/>
      </c>
      <c r="G265" s="7" t="n"/>
      <c r="H265" s="17">
        <f>IF(OR(A265="",B265=""),"",IF(COUNTIFS('Lançamentos Diários'!$A$5:$A$504,A265,'Lançamentos Diários'!$B$5:$B$504,B265)&gt;0,"OK","FALTA LANÇAMENTO"))</f>
        <v/>
      </c>
    </row>
    <row r="266">
      <c r="A266" s="14" t="n"/>
      <c r="B266" s="7" t="n"/>
      <c r="C266" s="15" t="n"/>
      <c r="D266" s="15" t="n"/>
      <c r="E266" s="7" t="n"/>
      <c r="F266" s="12">
        <f>IF(OR(C266="",D266=""),"",ROUND(MOD(D266-C266,1)*24,2))</f>
        <v/>
      </c>
      <c r="G266" s="7" t="n"/>
      <c r="H266" s="17">
        <f>IF(OR(A266="",B266=""),"",IF(COUNTIFS('Lançamentos Diários'!$A$5:$A$504,A266,'Lançamentos Diários'!$B$5:$B$504,B266)&gt;0,"OK","FALTA LANÇAMENTO"))</f>
        <v/>
      </c>
    </row>
    <row r="267">
      <c r="A267" s="14" t="n"/>
      <c r="B267" s="7" t="n"/>
      <c r="C267" s="15" t="n"/>
      <c r="D267" s="15" t="n"/>
      <c r="E267" s="7" t="n"/>
      <c r="F267" s="12">
        <f>IF(OR(C267="",D267=""),"",ROUND(MOD(D267-C267,1)*24,2))</f>
        <v/>
      </c>
      <c r="G267" s="7" t="n"/>
      <c r="H267" s="17">
        <f>IF(OR(A267="",B267=""),"",IF(COUNTIFS('Lançamentos Diários'!$A$5:$A$504,A267,'Lançamentos Diários'!$B$5:$B$504,B267)&gt;0,"OK","FALTA LANÇAMENTO"))</f>
        <v/>
      </c>
    </row>
    <row r="268">
      <c r="A268" s="14" t="n"/>
      <c r="B268" s="7" t="n"/>
      <c r="C268" s="15" t="n"/>
      <c r="D268" s="15" t="n"/>
      <c r="E268" s="7" t="n"/>
      <c r="F268" s="12">
        <f>IF(OR(C268="",D268=""),"",ROUND(MOD(D268-C268,1)*24,2))</f>
        <v/>
      </c>
      <c r="G268" s="7" t="n"/>
      <c r="H268" s="17">
        <f>IF(OR(A268="",B268=""),"",IF(COUNTIFS('Lançamentos Diários'!$A$5:$A$504,A268,'Lançamentos Diários'!$B$5:$B$504,B268)&gt;0,"OK","FALTA LANÇAMENTO"))</f>
        <v/>
      </c>
    </row>
    <row r="269">
      <c r="A269" s="14" t="n"/>
      <c r="B269" s="7" t="n"/>
      <c r="C269" s="15" t="n"/>
      <c r="D269" s="15" t="n"/>
      <c r="E269" s="7" t="n"/>
      <c r="F269" s="12">
        <f>IF(OR(C269="",D269=""),"",ROUND(MOD(D269-C269,1)*24,2))</f>
        <v/>
      </c>
      <c r="G269" s="7" t="n"/>
      <c r="H269" s="17">
        <f>IF(OR(A269="",B269=""),"",IF(COUNTIFS('Lançamentos Diários'!$A$5:$A$504,A269,'Lançamentos Diários'!$B$5:$B$504,B269)&gt;0,"OK","FALTA LANÇAMENTO"))</f>
        <v/>
      </c>
    </row>
    <row r="270">
      <c r="A270" s="14" t="n"/>
      <c r="B270" s="7" t="n"/>
      <c r="C270" s="15" t="n"/>
      <c r="D270" s="15" t="n"/>
      <c r="E270" s="7" t="n"/>
      <c r="F270" s="12">
        <f>IF(OR(C270="",D270=""),"",ROUND(MOD(D270-C270,1)*24,2))</f>
        <v/>
      </c>
      <c r="G270" s="7" t="n"/>
      <c r="H270" s="17">
        <f>IF(OR(A270="",B270=""),"",IF(COUNTIFS('Lançamentos Diários'!$A$5:$A$504,A270,'Lançamentos Diários'!$B$5:$B$504,B270)&gt;0,"OK","FALTA LANÇAMENTO"))</f>
        <v/>
      </c>
    </row>
    <row r="271">
      <c r="A271" s="14" t="n"/>
      <c r="B271" s="7" t="n"/>
      <c r="C271" s="15" t="n"/>
      <c r="D271" s="15" t="n"/>
      <c r="E271" s="7" t="n"/>
      <c r="F271" s="12">
        <f>IF(OR(C271="",D271=""),"",ROUND(MOD(D271-C271,1)*24,2))</f>
        <v/>
      </c>
      <c r="G271" s="7" t="n"/>
      <c r="H271" s="17">
        <f>IF(OR(A271="",B271=""),"",IF(COUNTIFS('Lançamentos Diários'!$A$5:$A$504,A271,'Lançamentos Diários'!$B$5:$B$504,B271)&gt;0,"OK","FALTA LANÇAMENTO"))</f>
        <v/>
      </c>
    </row>
    <row r="272">
      <c r="A272" s="14" t="n"/>
      <c r="B272" s="7" t="n"/>
      <c r="C272" s="15" t="n"/>
      <c r="D272" s="15" t="n"/>
      <c r="E272" s="7" t="n"/>
      <c r="F272" s="12">
        <f>IF(OR(C272="",D272=""),"",ROUND(MOD(D272-C272,1)*24,2))</f>
        <v/>
      </c>
      <c r="G272" s="7" t="n"/>
      <c r="H272" s="17">
        <f>IF(OR(A272="",B272=""),"",IF(COUNTIFS('Lançamentos Diários'!$A$5:$A$504,A272,'Lançamentos Diários'!$B$5:$B$504,B272)&gt;0,"OK","FALTA LANÇAMENTO"))</f>
        <v/>
      </c>
    </row>
    <row r="273">
      <c r="A273" s="14" t="n"/>
      <c r="B273" s="7" t="n"/>
      <c r="C273" s="15" t="n"/>
      <c r="D273" s="15" t="n"/>
      <c r="E273" s="7" t="n"/>
      <c r="F273" s="12">
        <f>IF(OR(C273="",D273=""),"",ROUND(MOD(D273-C273,1)*24,2))</f>
        <v/>
      </c>
      <c r="G273" s="7" t="n"/>
      <c r="H273" s="17">
        <f>IF(OR(A273="",B273=""),"",IF(COUNTIFS('Lançamentos Diários'!$A$5:$A$504,A273,'Lançamentos Diários'!$B$5:$B$504,B273)&gt;0,"OK","FALTA LANÇAMENTO"))</f>
        <v/>
      </c>
    </row>
    <row r="274">
      <c r="A274" s="14" t="n"/>
      <c r="B274" s="7" t="n"/>
      <c r="C274" s="15" t="n"/>
      <c r="D274" s="15" t="n"/>
      <c r="E274" s="7" t="n"/>
      <c r="F274" s="12">
        <f>IF(OR(C274="",D274=""),"",ROUND(MOD(D274-C274,1)*24,2))</f>
        <v/>
      </c>
      <c r="G274" s="7" t="n"/>
      <c r="H274" s="17">
        <f>IF(OR(A274="",B274=""),"",IF(COUNTIFS('Lançamentos Diários'!$A$5:$A$504,A274,'Lançamentos Diários'!$B$5:$B$504,B274)&gt;0,"OK","FALTA LANÇAMENTO"))</f>
        <v/>
      </c>
    </row>
    <row r="275">
      <c r="A275" s="14" t="n"/>
      <c r="B275" s="7" t="n"/>
      <c r="C275" s="15" t="n"/>
      <c r="D275" s="15" t="n"/>
      <c r="E275" s="7" t="n"/>
      <c r="F275" s="12">
        <f>IF(OR(C275="",D275=""),"",ROUND(MOD(D275-C275,1)*24,2))</f>
        <v/>
      </c>
      <c r="G275" s="7" t="n"/>
      <c r="H275" s="17">
        <f>IF(OR(A275="",B275=""),"",IF(COUNTIFS('Lançamentos Diários'!$A$5:$A$504,A275,'Lançamentos Diários'!$B$5:$B$504,B275)&gt;0,"OK","FALTA LANÇAMENTO"))</f>
        <v/>
      </c>
    </row>
    <row r="276">
      <c r="A276" s="14" t="n"/>
      <c r="B276" s="7" t="n"/>
      <c r="C276" s="15" t="n"/>
      <c r="D276" s="15" t="n"/>
      <c r="E276" s="7" t="n"/>
      <c r="F276" s="12">
        <f>IF(OR(C276="",D276=""),"",ROUND(MOD(D276-C276,1)*24,2))</f>
        <v/>
      </c>
      <c r="G276" s="7" t="n"/>
      <c r="H276" s="17">
        <f>IF(OR(A276="",B276=""),"",IF(COUNTIFS('Lançamentos Diários'!$A$5:$A$504,A276,'Lançamentos Diários'!$B$5:$B$504,B276)&gt;0,"OK","FALTA LANÇAMENTO"))</f>
        <v/>
      </c>
    </row>
    <row r="277">
      <c r="A277" s="14" t="n"/>
      <c r="B277" s="7" t="n"/>
      <c r="C277" s="15" t="n"/>
      <c r="D277" s="15" t="n"/>
      <c r="E277" s="7" t="n"/>
      <c r="F277" s="12">
        <f>IF(OR(C277="",D277=""),"",ROUND(MOD(D277-C277,1)*24,2))</f>
        <v/>
      </c>
      <c r="G277" s="7" t="n"/>
      <c r="H277" s="17">
        <f>IF(OR(A277="",B277=""),"",IF(COUNTIFS('Lançamentos Diários'!$A$5:$A$504,A277,'Lançamentos Diários'!$B$5:$B$504,B277)&gt;0,"OK","FALTA LANÇAMENTO"))</f>
        <v/>
      </c>
    </row>
    <row r="278">
      <c r="A278" s="14" t="n"/>
      <c r="B278" s="7" t="n"/>
      <c r="C278" s="15" t="n"/>
      <c r="D278" s="15" t="n"/>
      <c r="E278" s="7" t="n"/>
      <c r="F278" s="12">
        <f>IF(OR(C278="",D278=""),"",ROUND(MOD(D278-C278,1)*24,2))</f>
        <v/>
      </c>
      <c r="G278" s="7" t="n"/>
      <c r="H278" s="17">
        <f>IF(OR(A278="",B278=""),"",IF(COUNTIFS('Lançamentos Diários'!$A$5:$A$504,A278,'Lançamentos Diários'!$B$5:$B$504,B278)&gt;0,"OK","FALTA LANÇAMENTO"))</f>
        <v/>
      </c>
    </row>
    <row r="279">
      <c r="A279" s="14" t="n"/>
      <c r="B279" s="7" t="n"/>
      <c r="C279" s="15" t="n"/>
      <c r="D279" s="15" t="n"/>
      <c r="E279" s="7" t="n"/>
      <c r="F279" s="12">
        <f>IF(OR(C279="",D279=""),"",ROUND(MOD(D279-C279,1)*24,2))</f>
        <v/>
      </c>
      <c r="G279" s="7" t="n"/>
      <c r="H279" s="17">
        <f>IF(OR(A279="",B279=""),"",IF(COUNTIFS('Lançamentos Diários'!$A$5:$A$504,A279,'Lançamentos Diários'!$B$5:$B$504,B279)&gt;0,"OK","FALTA LANÇAMENTO"))</f>
        <v/>
      </c>
    </row>
    <row r="280">
      <c r="A280" s="14" t="n"/>
      <c r="B280" s="7" t="n"/>
      <c r="C280" s="15" t="n"/>
      <c r="D280" s="15" t="n"/>
      <c r="E280" s="7" t="n"/>
      <c r="F280" s="12">
        <f>IF(OR(C280="",D280=""),"",ROUND(MOD(D280-C280,1)*24,2))</f>
        <v/>
      </c>
      <c r="G280" s="7" t="n"/>
      <c r="H280" s="17">
        <f>IF(OR(A280="",B280=""),"",IF(COUNTIFS('Lançamentos Diários'!$A$5:$A$504,A280,'Lançamentos Diários'!$B$5:$B$504,B280)&gt;0,"OK","FALTA LANÇAMENTO"))</f>
        <v/>
      </c>
    </row>
    <row r="281">
      <c r="A281" s="14" t="n"/>
      <c r="B281" s="7" t="n"/>
      <c r="C281" s="15" t="n"/>
      <c r="D281" s="15" t="n"/>
      <c r="E281" s="7" t="n"/>
      <c r="F281" s="12">
        <f>IF(OR(C281="",D281=""),"",ROUND(MOD(D281-C281,1)*24,2))</f>
        <v/>
      </c>
      <c r="G281" s="7" t="n"/>
      <c r="H281" s="17">
        <f>IF(OR(A281="",B281=""),"",IF(COUNTIFS('Lançamentos Diários'!$A$5:$A$504,A281,'Lançamentos Diários'!$B$5:$B$504,B281)&gt;0,"OK","FALTA LANÇAMENTO"))</f>
        <v/>
      </c>
    </row>
    <row r="282">
      <c r="A282" s="14" t="n"/>
      <c r="B282" s="7" t="n"/>
      <c r="C282" s="15" t="n"/>
      <c r="D282" s="15" t="n"/>
      <c r="E282" s="7" t="n"/>
      <c r="F282" s="12">
        <f>IF(OR(C282="",D282=""),"",ROUND(MOD(D282-C282,1)*24,2))</f>
        <v/>
      </c>
      <c r="G282" s="7" t="n"/>
      <c r="H282" s="17">
        <f>IF(OR(A282="",B282=""),"",IF(COUNTIFS('Lançamentos Diários'!$A$5:$A$504,A282,'Lançamentos Diários'!$B$5:$B$504,B282)&gt;0,"OK","FALTA LANÇAMENTO"))</f>
        <v/>
      </c>
    </row>
    <row r="283">
      <c r="A283" s="14" t="n"/>
      <c r="B283" s="7" t="n"/>
      <c r="C283" s="15" t="n"/>
      <c r="D283" s="15" t="n"/>
      <c r="E283" s="7" t="n"/>
      <c r="F283" s="12">
        <f>IF(OR(C283="",D283=""),"",ROUND(MOD(D283-C283,1)*24,2))</f>
        <v/>
      </c>
      <c r="G283" s="7" t="n"/>
      <c r="H283" s="17">
        <f>IF(OR(A283="",B283=""),"",IF(COUNTIFS('Lançamentos Diários'!$A$5:$A$504,A283,'Lançamentos Diários'!$B$5:$B$504,B283)&gt;0,"OK","FALTA LANÇAMENTO"))</f>
        <v/>
      </c>
    </row>
    <row r="284">
      <c r="A284" s="14" t="n"/>
      <c r="B284" s="7" t="n"/>
      <c r="C284" s="15" t="n"/>
      <c r="D284" s="15" t="n"/>
      <c r="E284" s="7" t="n"/>
      <c r="F284" s="12">
        <f>IF(OR(C284="",D284=""),"",ROUND(MOD(D284-C284,1)*24,2))</f>
        <v/>
      </c>
      <c r="G284" s="7" t="n"/>
      <c r="H284" s="17">
        <f>IF(OR(A284="",B284=""),"",IF(COUNTIFS('Lançamentos Diários'!$A$5:$A$504,A284,'Lançamentos Diários'!$B$5:$B$504,B284)&gt;0,"OK","FALTA LANÇAMENTO"))</f>
        <v/>
      </c>
    </row>
    <row r="285">
      <c r="A285" s="14" t="n"/>
      <c r="B285" s="7" t="n"/>
      <c r="C285" s="15" t="n"/>
      <c r="D285" s="15" t="n"/>
      <c r="E285" s="7" t="n"/>
      <c r="F285" s="12">
        <f>IF(OR(C285="",D285=""),"",ROUND(MOD(D285-C285,1)*24,2))</f>
        <v/>
      </c>
      <c r="G285" s="7" t="n"/>
      <c r="H285" s="17">
        <f>IF(OR(A285="",B285=""),"",IF(COUNTIFS('Lançamentos Diários'!$A$5:$A$504,A285,'Lançamentos Diários'!$B$5:$B$504,B285)&gt;0,"OK","FALTA LANÇAMENTO"))</f>
        <v/>
      </c>
    </row>
    <row r="286">
      <c r="A286" s="14" t="n"/>
      <c r="B286" s="7" t="n"/>
      <c r="C286" s="15" t="n"/>
      <c r="D286" s="15" t="n"/>
      <c r="E286" s="7" t="n"/>
      <c r="F286" s="12">
        <f>IF(OR(C286="",D286=""),"",ROUND(MOD(D286-C286,1)*24,2))</f>
        <v/>
      </c>
      <c r="G286" s="7" t="n"/>
      <c r="H286" s="17">
        <f>IF(OR(A286="",B286=""),"",IF(COUNTIFS('Lançamentos Diários'!$A$5:$A$504,A286,'Lançamentos Diários'!$B$5:$B$504,B286)&gt;0,"OK","FALTA LANÇAMENTO"))</f>
        <v/>
      </c>
    </row>
    <row r="287">
      <c r="A287" s="14" t="n"/>
      <c r="B287" s="7" t="n"/>
      <c r="C287" s="15" t="n"/>
      <c r="D287" s="15" t="n"/>
      <c r="E287" s="7" t="n"/>
      <c r="F287" s="12">
        <f>IF(OR(C287="",D287=""),"",ROUND(MOD(D287-C287,1)*24,2))</f>
        <v/>
      </c>
      <c r="G287" s="7" t="n"/>
      <c r="H287" s="17">
        <f>IF(OR(A287="",B287=""),"",IF(COUNTIFS('Lançamentos Diários'!$A$5:$A$504,A287,'Lançamentos Diários'!$B$5:$B$504,B287)&gt;0,"OK","FALTA LANÇAMENTO"))</f>
        <v/>
      </c>
    </row>
    <row r="288">
      <c r="A288" s="14" t="n"/>
      <c r="B288" s="7" t="n"/>
      <c r="C288" s="15" t="n"/>
      <c r="D288" s="15" t="n"/>
      <c r="E288" s="7" t="n"/>
      <c r="F288" s="12">
        <f>IF(OR(C288="",D288=""),"",ROUND(MOD(D288-C288,1)*24,2))</f>
        <v/>
      </c>
      <c r="G288" s="7" t="n"/>
      <c r="H288" s="17">
        <f>IF(OR(A288="",B288=""),"",IF(COUNTIFS('Lançamentos Diários'!$A$5:$A$504,A288,'Lançamentos Diários'!$B$5:$B$504,B288)&gt;0,"OK","FALTA LANÇAMENTO"))</f>
        <v/>
      </c>
    </row>
    <row r="289">
      <c r="A289" s="14" t="n"/>
      <c r="B289" s="7" t="n"/>
      <c r="C289" s="15" t="n"/>
      <c r="D289" s="15" t="n"/>
      <c r="E289" s="7" t="n"/>
      <c r="F289" s="12">
        <f>IF(OR(C289="",D289=""),"",ROUND(MOD(D289-C289,1)*24,2))</f>
        <v/>
      </c>
      <c r="G289" s="7" t="n"/>
      <c r="H289" s="17">
        <f>IF(OR(A289="",B289=""),"",IF(COUNTIFS('Lançamentos Diários'!$A$5:$A$504,A289,'Lançamentos Diários'!$B$5:$B$504,B289)&gt;0,"OK","FALTA LANÇAMENTO"))</f>
        <v/>
      </c>
    </row>
    <row r="290">
      <c r="A290" s="14" t="n"/>
      <c r="B290" s="7" t="n"/>
      <c r="C290" s="15" t="n"/>
      <c r="D290" s="15" t="n"/>
      <c r="E290" s="7" t="n"/>
      <c r="F290" s="12">
        <f>IF(OR(C290="",D290=""),"",ROUND(MOD(D290-C290,1)*24,2))</f>
        <v/>
      </c>
      <c r="G290" s="7" t="n"/>
      <c r="H290" s="17">
        <f>IF(OR(A290="",B290=""),"",IF(COUNTIFS('Lançamentos Diários'!$A$5:$A$504,A290,'Lançamentos Diários'!$B$5:$B$504,B290)&gt;0,"OK","FALTA LANÇAMENTO"))</f>
        <v/>
      </c>
    </row>
    <row r="291">
      <c r="A291" s="14" t="n"/>
      <c r="B291" s="7" t="n"/>
      <c r="C291" s="15" t="n"/>
      <c r="D291" s="15" t="n"/>
      <c r="E291" s="7" t="n"/>
      <c r="F291" s="12">
        <f>IF(OR(C291="",D291=""),"",ROUND(MOD(D291-C291,1)*24,2))</f>
        <v/>
      </c>
      <c r="G291" s="7" t="n"/>
      <c r="H291" s="17">
        <f>IF(OR(A291="",B291=""),"",IF(COUNTIFS('Lançamentos Diários'!$A$5:$A$504,A291,'Lançamentos Diários'!$B$5:$B$504,B291)&gt;0,"OK","FALTA LANÇAMENTO"))</f>
        <v/>
      </c>
    </row>
    <row r="292">
      <c r="A292" s="14" t="n"/>
      <c r="B292" s="7" t="n"/>
      <c r="C292" s="15" t="n"/>
      <c r="D292" s="15" t="n"/>
      <c r="E292" s="7" t="n"/>
      <c r="F292" s="12">
        <f>IF(OR(C292="",D292=""),"",ROUND(MOD(D292-C292,1)*24,2))</f>
        <v/>
      </c>
      <c r="G292" s="7" t="n"/>
      <c r="H292" s="17">
        <f>IF(OR(A292="",B292=""),"",IF(COUNTIFS('Lançamentos Diários'!$A$5:$A$504,A292,'Lançamentos Diários'!$B$5:$B$504,B292)&gt;0,"OK","FALTA LANÇAMENTO"))</f>
        <v/>
      </c>
    </row>
    <row r="293">
      <c r="A293" s="14" t="n"/>
      <c r="B293" s="7" t="n"/>
      <c r="C293" s="15" t="n"/>
      <c r="D293" s="15" t="n"/>
      <c r="E293" s="7" t="n"/>
      <c r="F293" s="12">
        <f>IF(OR(C293="",D293=""),"",ROUND(MOD(D293-C293,1)*24,2))</f>
        <v/>
      </c>
      <c r="G293" s="7" t="n"/>
      <c r="H293" s="17">
        <f>IF(OR(A293="",B293=""),"",IF(COUNTIFS('Lançamentos Diários'!$A$5:$A$504,A293,'Lançamentos Diários'!$B$5:$B$504,B293)&gt;0,"OK","FALTA LANÇAMENTO"))</f>
        <v/>
      </c>
    </row>
    <row r="294">
      <c r="A294" s="14" t="n"/>
      <c r="B294" s="7" t="n"/>
      <c r="C294" s="15" t="n"/>
      <c r="D294" s="15" t="n"/>
      <c r="E294" s="7" t="n"/>
      <c r="F294" s="12">
        <f>IF(OR(C294="",D294=""),"",ROUND(MOD(D294-C294,1)*24,2))</f>
        <v/>
      </c>
      <c r="G294" s="7" t="n"/>
      <c r="H294" s="17">
        <f>IF(OR(A294="",B294=""),"",IF(COUNTIFS('Lançamentos Diários'!$A$5:$A$504,A294,'Lançamentos Diários'!$B$5:$B$504,B294)&gt;0,"OK","FALTA LANÇAMENTO"))</f>
        <v/>
      </c>
    </row>
    <row r="295">
      <c r="A295" s="14" t="n"/>
      <c r="B295" s="7" t="n"/>
      <c r="C295" s="15" t="n"/>
      <c r="D295" s="15" t="n"/>
      <c r="E295" s="7" t="n"/>
      <c r="F295" s="12">
        <f>IF(OR(C295="",D295=""),"",ROUND(MOD(D295-C295,1)*24,2))</f>
        <v/>
      </c>
      <c r="G295" s="7" t="n"/>
      <c r="H295" s="17">
        <f>IF(OR(A295="",B295=""),"",IF(COUNTIFS('Lançamentos Diários'!$A$5:$A$504,A295,'Lançamentos Diários'!$B$5:$B$504,B295)&gt;0,"OK","FALTA LANÇAMENTO"))</f>
        <v/>
      </c>
    </row>
    <row r="296">
      <c r="A296" s="14" t="n"/>
      <c r="B296" s="7" t="n"/>
      <c r="C296" s="15" t="n"/>
      <c r="D296" s="15" t="n"/>
      <c r="E296" s="7" t="n"/>
      <c r="F296" s="12">
        <f>IF(OR(C296="",D296=""),"",ROUND(MOD(D296-C296,1)*24,2))</f>
        <v/>
      </c>
      <c r="G296" s="7" t="n"/>
      <c r="H296" s="17">
        <f>IF(OR(A296="",B296=""),"",IF(COUNTIFS('Lançamentos Diários'!$A$5:$A$504,A296,'Lançamentos Diários'!$B$5:$B$504,B296)&gt;0,"OK","FALTA LANÇAMENTO"))</f>
        <v/>
      </c>
    </row>
    <row r="297">
      <c r="A297" s="14" t="n"/>
      <c r="B297" s="7" t="n"/>
      <c r="C297" s="15" t="n"/>
      <c r="D297" s="15" t="n"/>
      <c r="E297" s="7" t="n"/>
      <c r="F297" s="12">
        <f>IF(OR(C297="",D297=""),"",ROUND(MOD(D297-C297,1)*24,2))</f>
        <v/>
      </c>
      <c r="G297" s="7" t="n"/>
      <c r="H297" s="17">
        <f>IF(OR(A297="",B297=""),"",IF(COUNTIFS('Lançamentos Diários'!$A$5:$A$504,A297,'Lançamentos Diários'!$B$5:$B$504,B297)&gt;0,"OK","FALTA LANÇAMENTO"))</f>
        <v/>
      </c>
    </row>
    <row r="298">
      <c r="A298" s="14" t="n"/>
      <c r="B298" s="7" t="n"/>
      <c r="C298" s="15" t="n"/>
      <c r="D298" s="15" t="n"/>
      <c r="E298" s="7" t="n"/>
      <c r="F298" s="12">
        <f>IF(OR(C298="",D298=""),"",ROUND(MOD(D298-C298,1)*24,2))</f>
        <v/>
      </c>
      <c r="G298" s="7" t="n"/>
      <c r="H298" s="17">
        <f>IF(OR(A298="",B298=""),"",IF(COUNTIFS('Lançamentos Diários'!$A$5:$A$504,A298,'Lançamentos Diários'!$B$5:$B$504,B298)&gt;0,"OK","FALTA LANÇAMENTO"))</f>
        <v/>
      </c>
    </row>
    <row r="299">
      <c r="A299" s="14" t="n"/>
      <c r="B299" s="7" t="n"/>
      <c r="C299" s="15" t="n"/>
      <c r="D299" s="15" t="n"/>
      <c r="E299" s="7" t="n"/>
      <c r="F299" s="12">
        <f>IF(OR(C299="",D299=""),"",ROUND(MOD(D299-C299,1)*24,2))</f>
        <v/>
      </c>
      <c r="G299" s="7" t="n"/>
      <c r="H299" s="17">
        <f>IF(OR(A299="",B299=""),"",IF(COUNTIFS('Lançamentos Diários'!$A$5:$A$504,A299,'Lançamentos Diários'!$B$5:$B$504,B299)&gt;0,"OK","FALTA LANÇAMENTO"))</f>
        <v/>
      </c>
    </row>
    <row r="300">
      <c r="A300" s="14" t="n"/>
      <c r="B300" s="7" t="n"/>
      <c r="C300" s="15" t="n"/>
      <c r="D300" s="15" t="n"/>
      <c r="E300" s="7" t="n"/>
      <c r="F300" s="12">
        <f>IF(OR(C300="",D300=""),"",ROUND(MOD(D300-C300,1)*24,2))</f>
        <v/>
      </c>
      <c r="G300" s="7" t="n"/>
      <c r="H300" s="17">
        <f>IF(OR(A300="",B300=""),"",IF(COUNTIFS('Lançamentos Diários'!$A$5:$A$504,A300,'Lançamentos Diários'!$B$5:$B$504,B300)&gt;0,"OK","FALTA LANÇAMENTO"))</f>
        <v/>
      </c>
    </row>
    <row r="301">
      <c r="A301" s="14" t="n"/>
      <c r="B301" s="7" t="n"/>
      <c r="C301" s="15" t="n"/>
      <c r="D301" s="15" t="n"/>
      <c r="E301" s="7" t="n"/>
      <c r="F301" s="12">
        <f>IF(OR(C301="",D301=""),"",ROUND(MOD(D301-C301,1)*24,2))</f>
        <v/>
      </c>
      <c r="G301" s="7" t="n"/>
      <c r="H301" s="17">
        <f>IF(OR(A301="",B301=""),"",IF(COUNTIFS('Lançamentos Diários'!$A$5:$A$504,A301,'Lançamentos Diários'!$B$5:$B$504,B301)&gt;0,"OK","FALTA LANÇAMENTO"))</f>
        <v/>
      </c>
    </row>
    <row r="302">
      <c r="A302" s="14" t="n"/>
      <c r="B302" s="7" t="n"/>
      <c r="C302" s="15" t="n"/>
      <c r="D302" s="15" t="n"/>
      <c r="E302" s="7" t="n"/>
      <c r="F302" s="12">
        <f>IF(OR(C302="",D302=""),"",ROUND(MOD(D302-C302,1)*24,2))</f>
        <v/>
      </c>
      <c r="G302" s="7" t="n"/>
      <c r="H302" s="17">
        <f>IF(OR(A302="",B302=""),"",IF(COUNTIFS('Lançamentos Diários'!$A$5:$A$504,A302,'Lançamentos Diários'!$B$5:$B$504,B302)&gt;0,"OK","FALTA LANÇAMENTO"))</f>
        <v/>
      </c>
    </row>
    <row r="303">
      <c r="A303" s="14" t="n"/>
      <c r="B303" s="7" t="n"/>
      <c r="C303" s="15" t="n"/>
      <c r="D303" s="15" t="n"/>
      <c r="E303" s="7" t="n"/>
      <c r="F303" s="12">
        <f>IF(OR(C303="",D303=""),"",ROUND(MOD(D303-C303,1)*24,2))</f>
        <v/>
      </c>
      <c r="G303" s="7" t="n"/>
      <c r="H303" s="17">
        <f>IF(OR(A303="",B303=""),"",IF(COUNTIFS('Lançamentos Diários'!$A$5:$A$504,A303,'Lançamentos Diários'!$B$5:$B$504,B303)&gt;0,"OK","FALTA LANÇAMENTO"))</f>
        <v/>
      </c>
    </row>
    <row r="304">
      <c r="A304" s="14" t="n"/>
      <c r="B304" s="7" t="n"/>
      <c r="C304" s="15" t="n"/>
      <c r="D304" s="15" t="n"/>
      <c r="E304" s="7" t="n"/>
      <c r="F304" s="12">
        <f>IF(OR(C304="",D304=""),"",ROUND(MOD(D304-C304,1)*24,2))</f>
        <v/>
      </c>
      <c r="G304" s="7" t="n"/>
      <c r="H304" s="17">
        <f>IF(OR(A304="",B304=""),"",IF(COUNTIFS('Lançamentos Diários'!$A$5:$A$504,A304,'Lançamentos Diários'!$B$5:$B$504,B304)&gt;0,"OK","FALTA LANÇAMENTO"))</f>
        <v/>
      </c>
    </row>
    <row r="305">
      <c r="A305" s="14" t="n"/>
      <c r="B305" s="7" t="n"/>
      <c r="C305" s="15" t="n"/>
      <c r="D305" s="15" t="n"/>
      <c r="E305" s="7" t="n"/>
      <c r="F305" s="12">
        <f>IF(OR(C305="",D305=""),"",ROUND(MOD(D305-C305,1)*24,2))</f>
        <v/>
      </c>
      <c r="G305" s="7" t="n"/>
      <c r="H305" s="17">
        <f>IF(OR(A305="",B305=""),"",IF(COUNTIFS('Lançamentos Diários'!$A$5:$A$504,A305,'Lançamentos Diários'!$B$5:$B$504,B305)&gt;0,"OK","FALTA LANÇAMENTO"))</f>
        <v/>
      </c>
    </row>
    <row r="306">
      <c r="A306" s="14" t="n"/>
      <c r="B306" s="7" t="n"/>
      <c r="C306" s="15" t="n"/>
      <c r="D306" s="15" t="n"/>
      <c r="E306" s="7" t="n"/>
      <c r="F306" s="12">
        <f>IF(OR(C306="",D306=""),"",ROUND(MOD(D306-C306,1)*24,2))</f>
        <v/>
      </c>
      <c r="G306" s="7" t="n"/>
      <c r="H306" s="17">
        <f>IF(OR(A306="",B306=""),"",IF(COUNTIFS('Lançamentos Diários'!$A$5:$A$504,A306,'Lançamentos Diários'!$B$5:$B$504,B306)&gt;0,"OK","FALTA LANÇAMENTO"))</f>
        <v/>
      </c>
    </row>
    <row r="307">
      <c r="A307" s="14" t="n"/>
      <c r="B307" s="7" t="n"/>
      <c r="C307" s="15" t="n"/>
      <c r="D307" s="15" t="n"/>
      <c r="E307" s="7" t="n"/>
      <c r="F307" s="12">
        <f>IF(OR(C307="",D307=""),"",ROUND(MOD(D307-C307,1)*24,2))</f>
        <v/>
      </c>
      <c r="G307" s="7" t="n"/>
      <c r="H307" s="17">
        <f>IF(OR(A307="",B307=""),"",IF(COUNTIFS('Lançamentos Diários'!$A$5:$A$504,A307,'Lançamentos Diários'!$B$5:$B$504,B307)&gt;0,"OK","FALTA LANÇAMENTO"))</f>
        <v/>
      </c>
    </row>
    <row r="308">
      <c r="A308" s="14" t="n"/>
      <c r="B308" s="7" t="n"/>
      <c r="C308" s="15" t="n"/>
      <c r="D308" s="15" t="n"/>
      <c r="E308" s="7" t="n"/>
      <c r="F308" s="12">
        <f>IF(OR(C308="",D308=""),"",ROUND(MOD(D308-C308,1)*24,2))</f>
        <v/>
      </c>
      <c r="G308" s="7" t="n"/>
      <c r="H308" s="17">
        <f>IF(OR(A308="",B308=""),"",IF(COUNTIFS('Lançamentos Diários'!$A$5:$A$504,A308,'Lançamentos Diários'!$B$5:$B$504,B308)&gt;0,"OK","FALTA LANÇAMENTO"))</f>
        <v/>
      </c>
    </row>
    <row r="309">
      <c r="A309" s="14" t="n"/>
      <c r="B309" s="7" t="n"/>
      <c r="C309" s="15" t="n"/>
      <c r="D309" s="15" t="n"/>
      <c r="E309" s="7" t="n"/>
      <c r="F309" s="12">
        <f>IF(OR(C309="",D309=""),"",ROUND(MOD(D309-C309,1)*24,2))</f>
        <v/>
      </c>
      <c r="G309" s="7" t="n"/>
      <c r="H309" s="17">
        <f>IF(OR(A309="",B309=""),"",IF(COUNTIFS('Lançamentos Diários'!$A$5:$A$504,A309,'Lançamentos Diários'!$B$5:$B$504,B309)&gt;0,"OK","FALTA LANÇAMENTO"))</f>
        <v/>
      </c>
    </row>
    <row r="310">
      <c r="A310" s="14" t="n"/>
      <c r="B310" s="7" t="n"/>
      <c r="C310" s="15" t="n"/>
      <c r="D310" s="15" t="n"/>
      <c r="E310" s="7" t="n"/>
      <c r="F310" s="12">
        <f>IF(OR(C310="",D310=""),"",ROUND(MOD(D310-C310,1)*24,2))</f>
        <v/>
      </c>
      <c r="G310" s="7" t="n"/>
      <c r="H310" s="17">
        <f>IF(OR(A310="",B310=""),"",IF(COUNTIFS('Lançamentos Diários'!$A$5:$A$504,A310,'Lançamentos Diários'!$B$5:$B$504,B310)&gt;0,"OK","FALTA LANÇAMENTO"))</f>
        <v/>
      </c>
    </row>
    <row r="311">
      <c r="A311" s="14" t="n"/>
      <c r="B311" s="7" t="n"/>
      <c r="C311" s="15" t="n"/>
      <c r="D311" s="15" t="n"/>
      <c r="E311" s="7" t="n"/>
      <c r="F311" s="12">
        <f>IF(OR(C311="",D311=""),"",ROUND(MOD(D311-C311,1)*24,2))</f>
        <v/>
      </c>
      <c r="G311" s="7" t="n"/>
      <c r="H311" s="17">
        <f>IF(OR(A311="",B311=""),"",IF(COUNTIFS('Lançamentos Diários'!$A$5:$A$504,A311,'Lançamentos Diários'!$B$5:$B$504,B311)&gt;0,"OK","FALTA LANÇAMENTO"))</f>
        <v/>
      </c>
    </row>
    <row r="312">
      <c r="A312" s="14" t="n"/>
      <c r="B312" s="7" t="n"/>
      <c r="C312" s="15" t="n"/>
      <c r="D312" s="15" t="n"/>
      <c r="E312" s="7" t="n"/>
      <c r="F312" s="12">
        <f>IF(OR(C312="",D312=""),"",ROUND(MOD(D312-C312,1)*24,2))</f>
        <v/>
      </c>
      <c r="G312" s="7" t="n"/>
      <c r="H312" s="17">
        <f>IF(OR(A312="",B312=""),"",IF(COUNTIFS('Lançamentos Diários'!$A$5:$A$504,A312,'Lançamentos Diários'!$B$5:$B$504,B312)&gt;0,"OK","FALTA LANÇAMENTO"))</f>
        <v/>
      </c>
    </row>
    <row r="313">
      <c r="A313" s="14" t="n"/>
      <c r="B313" s="7" t="n"/>
      <c r="C313" s="15" t="n"/>
      <c r="D313" s="15" t="n"/>
      <c r="E313" s="7" t="n"/>
      <c r="F313" s="12">
        <f>IF(OR(C313="",D313=""),"",ROUND(MOD(D313-C313,1)*24,2))</f>
        <v/>
      </c>
      <c r="G313" s="7" t="n"/>
      <c r="H313" s="17">
        <f>IF(OR(A313="",B313=""),"",IF(COUNTIFS('Lançamentos Diários'!$A$5:$A$504,A313,'Lançamentos Diários'!$B$5:$B$504,B313)&gt;0,"OK","FALTA LANÇAMENTO"))</f>
        <v/>
      </c>
    </row>
    <row r="314">
      <c r="A314" s="14" t="n"/>
      <c r="B314" s="7" t="n"/>
      <c r="C314" s="15" t="n"/>
      <c r="D314" s="15" t="n"/>
      <c r="E314" s="7" t="n"/>
      <c r="F314" s="12">
        <f>IF(OR(C314="",D314=""),"",ROUND(MOD(D314-C314,1)*24,2))</f>
        <v/>
      </c>
      <c r="G314" s="7" t="n"/>
      <c r="H314" s="17">
        <f>IF(OR(A314="",B314=""),"",IF(COUNTIFS('Lançamentos Diários'!$A$5:$A$504,A314,'Lançamentos Diários'!$B$5:$B$504,B314)&gt;0,"OK","FALTA LANÇAMENTO"))</f>
        <v/>
      </c>
    </row>
    <row r="315">
      <c r="A315" s="14" t="n"/>
      <c r="B315" s="7" t="n"/>
      <c r="C315" s="15" t="n"/>
      <c r="D315" s="15" t="n"/>
      <c r="E315" s="7" t="n"/>
      <c r="F315" s="12">
        <f>IF(OR(C315="",D315=""),"",ROUND(MOD(D315-C315,1)*24,2))</f>
        <v/>
      </c>
      <c r="G315" s="7" t="n"/>
      <c r="H315" s="17">
        <f>IF(OR(A315="",B315=""),"",IF(COUNTIFS('Lançamentos Diários'!$A$5:$A$504,A315,'Lançamentos Diários'!$B$5:$B$504,B315)&gt;0,"OK","FALTA LANÇAMENTO"))</f>
        <v/>
      </c>
    </row>
    <row r="316">
      <c r="A316" s="14" t="n"/>
      <c r="B316" s="7" t="n"/>
      <c r="C316" s="15" t="n"/>
      <c r="D316" s="15" t="n"/>
      <c r="E316" s="7" t="n"/>
      <c r="F316" s="12">
        <f>IF(OR(C316="",D316=""),"",ROUND(MOD(D316-C316,1)*24,2))</f>
        <v/>
      </c>
      <c r="G316" s="7" t="n"/>
      <c r="H316" s="17">
        <f>IF(OR(A316="",B316=""),"",IF(COUNTIFS('Lançamentos Diários'!$A$5:$A$504,A316,'Lançamentos Diários'!$B$5:$B$504,B316)&gt;0,"OK","FALTA LANÇAMENTO"))</f>
        <v/>
      </c>
    </row>
    <row r="317">
      <c r="A317" s="14" t="n"/>
      <c r="B317" s="7" t="n"/>
      <c r="C317" s="15" t="n"/>
      <c r="D317" s="15" t="n"/>
      <c r="E317" s="7" t="n"/>
      <c r="F317" s="12">
        <f>IF(OR(C317="",D317=""),"",ROUND(MOD(D317-C317,1)*24,2))</f>
        <v/>
      </c>
      <c r="G317" s="7" t="n"/>
      <c r="H317" s="17">
        <f>IF(OR(A317="",B317=""),"",IF(COUNTIFS('Lançamentos Diários'!$A$5:$A$504,A317,'Lançamentos Diários'!$B$5:$B$504,B317)&gt;0,"OK","FALTA LANÇAMENTO"))</f>
        <v/>
      </c>
    </row>
    <row r="318">
      <c r="A318" s="14" t="n"/>
      <c r="B318" s="7" t="n"/>
      <c r="C318" s="15" t="n"/>
      <c r="D318" s="15" t="n"/>
      <c r="E318" s="7" t="n"/>
      <c r="F318" s="12">
        <f>IF(OR(C318="",D318=""),"",ROUND(MOD(D318-C318,1)*24,2))</f>
        <v/>
      </c>
      <c r="G318" s="7" t="n"/>
      <c r="H318" s="17">
        <f>IF(OR(A318="",B318=""),"",IF(COUNTIFS('Lançamentos Diários'!$A$5:$A$504,A318,'Lançamentos Diários'!$B$5:$B$504,B318)&gt;0,"OK","FALTA LANÇAMENTO"))</f>
        <v/>
      </c>
    </row>
    <row r="319">
      <c r="A319" s="14" t="n"/>
      <c r="B319" s="7" t="n"/>
      <c r="C319" s="15" t="n"/>
      <c r="D319" s="15" t="n"/>
      <c r="E319" s="7" t="n"/>
      <c r="F319" s="12">
        <f>IF(OR(C319="",D319=""),"",ROUND(MOD(D319-C319,1)*24,2))</f>
        <v/>
      </c>
      <c r="G319" s="7" t="n"/>
      <c r="H319" s="17">
        <f>IF(OR(A319="",B319=""),"",IF(COUNTIFS('Lançamentos Diários'!$A$5:$A$504,A319,'Lançamentos Diários'!$B$5:$B$504,B319)&gt;0,"OK","FALTA LANÇAMENTO"))</f>
        <v/>
      </c>
    </row>
    <row r="320">
      <c r="A320" s="14" t="n"/>
      <c r="B320" s="7" t="n"/>
      <c r="C320" s="15" t="n"/>
      <c r="D320" s="15" t="n"/>
      <c r="E320" s="7" t="n"/>
      <c r="F320" s="12">
        <f>IF(OR(C320="",D320=""),"",ROUND(MOD(D320-C320,1)*24,2))</f>
        <v/>
      </c>
      <c r="G320" s="7" t="n"/>
      <c r="H320" s="17">
        <f>IF(OR(A320="",B320=""),"",IF(COUNTIFS('Lançamentos Diários'!$A$5:$A$504,A320,'Lançamentos Diários'!$B$5:$B$504,B320)&gt;0,"OK","FALTA LANÇAMENTO"))</f>
        <v/>
      </c>
    </row>
    <row r="321">
      <c r="A321" s="14" t="n"/>
      <c r="B321" s="7" t="n"/>
      <c r="C321" s="15" t="n"/>
      <c r="D321" s="15" t="n"/>
      <c r="E321" s="7" t="n"/>
      <c r="F321" s="12">
        <f>IF(OR(C321="",D321=""),"",ROUND(MOD(D321-C321,1)*24,2))</f>
        <v/>
      </c>
      <c r="G321" s="7" t="n"/>
      <c r="H321" s="17">
        <f>IF(OR(A321="",B321=""),"",IF(COUNTIFS('Lançamentos Diários'!$A$5:$A$504,A321,'Lançamentos Diários'!$B$5:$B$504,B321)&gt;0,"OK","FALTA LANÇAMENTO"))</f>
        <v/>
      </c>
    </row>
    <row r="322">
      <c r="A322" s="14" t="n"/>
      <c r="B322" s="7" t="n"/>
      <c r="C322" s="15" t="n"/>
      <c r="D322" s="15" t="n"/>
      <c r="E322" s="7" t="n"/>
      <c r="F322" s="12">
        <f>IF(OR(C322="",D322=""),"",ROUND(MOD(D322-C322,1)*24,2))</f>
        <v/>
      </c>
      <c r="G322" s="7" t="n"/>
      <c r="H322" s="17">
        <f>IF(OR(A322="",B322=""),"",IF(COUNTIFS('Lançamentos Diários'!$A$5:$A$504,A322,'Lançamentos Diários'!$B$5:$B$504,B322)&gt;0,"OK","FALTA LANÇAMENTO"))</f>
        <v/>
      </c>
    </row>
    <row r="323">
      <c r="A323" s="14" t="n"/>
      <c r="B323" s="7" t="n"/>
      <c r="C323" s="15" t="n"/>
      <c r="D323" s="15" t="n"/>
      <c r="E323" s="7" t="n"/>
      <c r="F323" s="12">
        <f>IF(OR(C323="",D323=""),"",ROUND(MOD(D323-C323,1)*24,2))</f>
        <v/>
      </c>
      <c r="G323" s="7" t="n"/>
      <c r="H323" s="17">
        <f>IF(OR(A323="",B323=""),"",IF(COUNTIFS('Lançamentos Diários'!$A$5:$A$504,A323,'Lançamentos Diários'!$B$5:$B$504,B323)&gt;0,"OK","FALTA LANÇAMENTO"))</f>
        <v/>
      </c>
    </row>
    <row r="324">
      <c r="A324" s="14" t="n"/>
      <c r="B324" s="7" t="n"/>
      <c r="C324" s="15" t="n"/>
      <c r="D324" s="15" t="n"/>
      <c r="E324" s="7" t="n"/>
      <c r="F324" s="12">
        <f>IF(OR(C324="",D324=""),"",ROUND(MOD(D324-C324,1)*24,2))</f>
        <v/>
      </c>
      <c r="G324" s="7" t="n"/>
      <c r="H324" s="17">
        <f>IF(OR(A324="",B324=""),"",IF(COUNTIFS('Lançamentos Diários'!$A$5:$A$504,A324,'Lançamentos Diários'!$B$5:$B$504,B324)&gt;0,"OK","FALTA LANÇAMENTO"))</f>
        <v/>
      </c>
    </row>
    <row r="325">
      <c r="A325" s="14" t="n"/>
      <c r="B325" s="7" t="n"/>
      <c r="C325" s="15" t="n"/>
      <c r="D325" s="15" t="n"/>
      <c r="E325" s="7" t="n"/>
      <c r="F325" s="12">
        <f>IF(OR(C325="",D325=""),"",ROUND(MOD(D325-C325,1)*24,2))</f>
        <v/>
      </c>
      <c r="G325" s="7" t="n"/>
      <c r="H325" s="17">
        <f>IF(OR(A325="",B325=""),"",IF(COUNTIFS('Lançamentos Diários'!$A$5:$A$504,A325,'Lançamentos Diários'!$B$5:$B$504,B325)&gt;0,"OK","FALTA LANÇAMENTO"))</f>
        <v/>
      </c>
    </row>
    <row r="326">
      <c r="A326" s="14" t="n"/>
      <c r="B326" s="7" t="n"/>
      <c r="C326" s="15" t="n"/>
      <c r="D326" s="15" t="n"/>
      <c r="E326" s="7" t="n"/>
      <c r="F326" s="12">
        <f>IF(OR(C326="",D326=""),"",ROUND(MOD(D326-C326,1)*24,2))</f>
        <v/>
      </c>
      <c r="G326" s="7" t="n"/>
      <c r="H326" s="17">
        <f>IF(OR(A326="",B326=""),"",IF(COUNTIFS('Lançamentos Diários'!$A$5:$A$504,A326,'Lançamentos Diários'!$B$5:$B$504,B326)&gt;0,"OK","FALTA LANÇAMENTO"))</f>
        <v/>
      </c>
    </row>
    <row r="327">
      <c r="A327" s="14" t="n"/>
      <c r="B327" s="7" t="n"/>
      <c r="C327" s="15" t="n"/>
      <c r="D327" s="15" t="n"/>
      <c r="E327" s="7" t="n"/>
      <c r="F327" s="12">
        <f>IF(OR(C327="",D327=""),"",ROUND(MOD(D327-C327,1)*24,2))</f>
        <v/>
      </c>
      <c r="G327" s="7" t="n"/>
      <c r="H327" s="17">
        <f>IF(OR(A327="",B327=""),"",IF(COUNTIFS('Lançamentos Diários'!$A$5:$A$504,A327,'Lançamentos Diários'!$B$5:$B$504,B327)&gt;0,"OK","FALTA LANÇAMENTO"))</f>
        <v/>
      </c>
    </row>
    <row r="328">
      <c r="A328" s="14" t="n"/>
      <c r="B328" s="7" t="n"/>
      <c r="C328" s="15" t="n"/>
      <c r="D328" s="15" t="n"/>
      <c r="E328" s="7" t="n"/>
      <c r="F328" s="12">
        <f>IF(OR(C328="",D328=""),"",ROUND(MOD(D328-C328,1)*24,2))</f>
        <v/>
      </c>
      <c r="G328" s="7" t="n"/>
      <c r="H328" s="17">
        <f>IF(OR(A328="",B328=""),"",IF(COUNTIFS('Lançamentos Diários'!$A$5:$A$504,A328,'Lançamentos Diários'!$B$5:$B$504,B328)&gt;0,"OK","FALTA LANÇAMENTO"))</f>
        <v/>
      </c>
    </row>
    <row r="329">
      <c r="A329" s="14" t="n"/>
      <c r="B329" s="7" t="n"/>
      <c r="C329" s="15" t="n"/>
      <c r="D329" s="15" t="n"/>
      <c r="E329" s="7" t="n"/>
      <c r="F329" s="12">
        <f>IF(OR(C329="",D329=""),"",ROUND(MOD(D329-C329,1)*24,2))</f>
        <v/>
      </c>
      <c r="G329" s="7" t="n"/>
      <c r="H329" s="17">
        <f>IF(OR(A329="",B329=""),"",IF(COUNTIFS('Lançamentos Diários'!$A$5:$A$504,A329,'Lançamentos Diários'!$B$5:$B$504,B329)&gt;0,"OK","FALTA LANÇAMENTO"))</f>
        <v/>
      </c>
    </row>
    <row r="330">
      <c r="A330" s="14" t="n"/>
      <c r="B330" s="7" t="n"/>
      <c r="C330" s="15" t="n"/>
      <c r="D330" s="15" t="n"/>
      <c r="E330" s="7" t="n"/>
      <c r="F330" s="12">
        <f>IF(OR(C330="",D330=""),"",ROUND(MOD(D330-C330,1)*24,2))</f>
        <v/>
      </c>
      <c r="G330" s="7" t="n"/>
      <c r="H330" s="17">
        <f>IF(OR(A330="",B330=""),"",IF(COUNTIFS('Lançamentos Diários'!$A$5:$A$504,A330,'Lançamentos Diários'!$B$5:$B$504,B330)&gt;0,"OK","FALTA LANÇAMENTO"))</f>
        <v/>
      </c>
    </row>
    <row r="331">
      <c r="A331" s="14" t="n"/>
      <c r="B331" s="7" t="n"/>
      <c r="C331" s="15" t="n"/>
      <c r="D331" s="15" t="n"/>
      <c r="E331" s="7" t="n"/>
      <c r="F331" s="12">
        <f>IF(OR(C331="",D331=""),"",ROUND(MOD(D331-C331,1)*24,2))</f>
        <v/>
      </c>
      <c r="G331" s="7" t="n"/>
      <c r="H331" s="17">
        <f>IF(OR(A331="",B331=""),"",IF(COUNTIFS('Lançamentos Diários'!$A$5:$A$504,A331,'Lançamentos Diários'!$B$5:$B$504,B331)&gt;0,"OK","FALTA LANÇAMENTO"))</f>
        <v/>
      </c>
    </row>
    <row r="332">
      <c r="A332" s="14" t="n"/>
      <c r="B332" s="7" t="n"/>
      <c r="C332" s="15" t="n"/>
      <c r="D332" s="15" t="n"/>
      <c r="E332" s="7" t="n"/>
      <c r="F332" s="12">
        <f>IF(OR(C332="",D332=""),"",ROUND(MOD(D332-C332,1)*24,2))</f>
        <v/>
      </c>
      <c r="G332" s="7" t="n"/>
      <c r="H332" s="17">
        <f>IF(OR(A332="",B332=""),"",IF(COUNTIFS('Lançamentos Diários'!$A$5:$A$504,A332,'Lançamentos Diários'!$B$5:$B$504,B332)&gt;0,"OK","FALTA LANÇAMENTO"))</f>
        <v/>
      </c>
    </row>
    <row r="333">
      <c r="A333" s="14" t="n"/>
      <c r="B333" s="7" t="n"/>
      <c r="C333" s="15" t="n"/>
      <c r="D333" s="15" t="n"/>
      <c r="E333" s="7" t="n"/>
      <c r="F333" s="12">
        <f>IF(OR(C333="",D333=""),"",ROUND(MOD(D333-C333,1)*24,2))</f>
        <v/>
      </c>
      <c r="G333" s="7" t="n"/>
      <c r="H333" s="17">
        <f>IF(OR(A333="",B333=""),"",IF(COUNTIFS('Lançamentos Diários'!$A$5:$A$504,A333,'Lançamentos Diários'!$B$5:$B$504,B333)&gt;0,"OK","FALTA LANÇAMENTO"))</f>
        <v/>
      </c>
    </row>
    <row r="334">
      <c r="A334" s="14" t="n"/>
      <c r="B334" s="7" t="n"/>
      <c r="C334" s="15" t="n"/>
      <c r="D334" s="15" t="n"/>
      <c r="E334" s="7" t="n"/>
      <c r="F334" s="12">
        <f>IF(OR(C334="",D334=""),"",ROUND(MOD(D334-C334,1)*24,2))</f>
        <v/>
      </c>
      <c r="G334" s="7" t="n"/>
      <c r="H334" s="17">
        <f>IF(OR(A334="",B334=""),"",IF(COUNTIFS('Lançamentos Diários'!$A$5:$A$504,A334,'Lançamentos Diários'!$B$5:$B$504,B334)&gt;0,"OK","FALTA LANÇAMENTO"))</f>
        <v/>
      </c>
    </row>
    <row r="335">
      <c r="A335" s="14" t="n"/>
      <c r="B335" s="7" t="n"/>
      <c r="C335" s="15" t="n"/>
      <c r="D335" s="15" t="n"/>
      <c r="E335" s="7" t="n"/>
      <c r="F335" s="12">
        <f>IF(OR(C335="",D335=""),"",ROUND(MOD(D335-C335,1)*24,2))</f>
        <v/>
      </c>
      <c r="G335" s="7" t="n"/>
      <c r="H335" s="17">
        <f>IF(OR(A335="",B335=""),"",IF(COUNTIFS('Lançamentos Diários'!$A$5:$A$504,A335,'Lançamentos Diários'!$B$5:$B$504,B335)&gt;0,"OK","FALTA LANÇAMENTO"))</f>
        <v/>
      </c>
    </row>
    <row r="336">
      <c r="A336" s="14" t="n"/>
      <c r="B336" s="7" t="n"/>
      <c r="C336" s="15" t="n"/>
      <c r="D336" s="15" t="n"/>
      <c r="E336" s="7" t="n"/>
      <c r="F336" s="12">
        <f>IF(OR(C336="",D336=""),"",ROUND(MOD(D336-C336,1)*24,2))</f>
        <v/>
      </c>
      <c r="G336" s="7" t="n"/>
      <c r="H336" s="17">
        <f>IF(OR(A336="",B336=""),"",IF(COUNTIFS('Lançamentos Diários'!$A$5:$A$504,A336,'Lançamentos Diários'!$B$5:$B$504,B336)&gt;0,"OK","FALTA LANÇAMENTO"))</f>
        <v/>
      </c>
    </row>
    <row r="337">
      <c r="A337" s="14" t="n"/>
      <c r="B337" s="7" t="n"/>
      <c r="C337" s="15" t="n"/>
      <c r="D337" s="15" t="n"/>
      <c r="E337" s="7" t="n"/>
      <c r="F337" s="12">
        <f>IF(OR(C337="",D337=""),"",ROUND(MOD(D337-C337,1)*24,2))</f>
        <v/>
      </c>
      <c r="G337" s="7" t="n"/>
      <c r="H337" s="17">
        <f>IF(OR(A337="",B337=""),"",IF(COUNTIFS('Lançamentos Diários'!$A$5:$A$504,A337,'Lançamentos Diários'!$B$5:$B$504,B337)&gt;0,"OK","FALTA LANÇAMENTO"))</f>
        <v/>
      </c>
    </row>
    <row r="338">
      <c r="A338" s="14" t="n"/>
      <c r="B338" s="7" t="n"/>
      <c r="C338" s="15" t="n"/>
      <c r="D338" s="15" t="n"/>
      <c r="E338" s="7" t="n"/>
      <c r="F338" s="12">
        <f>IF(OR(C338="",D338=""),"",ROUND(MOD(D338-C338,1)*24,2))</f>
        <v/>
      </c>
      <c r="G338" s="7" t="n"/>
      <c r="H338" s="17">
        <f>IF(OR(A338="",B338=""),"",IF(COUNTIFS('Lançamentos Diários'!$A$5:$A$504,A338,'Lançamentos Diários'!$B$5:$B$504,B338)&gt;0,"OK","FALTA LANÇAMENTO"))</f>
        <v/>
      </c>
    </row>
    <row r="339">
      <c r="A339" s="14" t="n"/>
      <c r="B339" s="7" t="n"/>
      <c r="C339" s="15" t="n"/>
      <c r="D339" s="15" t="n"/>
      <c r="E339" s="7" t="n"/>
      <c r="F339" s="12">
        <f>IF(OR(C339="",D339=""),"",ROUND(MOD(D339-C339,1)*24,2))</f>
        <v/>
      </c>
      <c r="G339" s="7" t="n"/>
      <c r="H339" s="17">
        <f>IF(OR(A339="",B339=""),"",IF(COUNTIFS('Lançamentos Diários'!$A$5:$A$504,A339,'Lançamentos Diários'!$B$5:$B$504,B339)&gt;0,"OK","FALTA LANÇAMENTO"))</f>
        <v/>
      </c>
    </row>
    <row r="340">
      <c r="A340" s="14" t="n"/>
      <c r="B340" s="7" t="n"/>
      <c r="C340" s="15" t="n"/>
      <c r="D340" s="15" t="n"/>
      <c r="E340" s="7" t="n"/>
      <c r="F340" s="12">
        <f>IF(OR(C340="",D340=""),"",ROUND(MOD(D340-C340,1)*24,2))</f>
        <v/>
      </c>
      <c r="G340" s="7" t="n"/>
      <c r="H340" s="17">
        <f>IF(OR(A340="",B340=""),"",IF(COUNTIFS('Lançamentos Diários'!$A$5:$A$504,A340,'Lançamentos Diários'!$B$5:$B$504,B340)&gt;0,"OK","FALTA LANÇAMENTO"))</f>
        <v/>
      </c>
    </row>
    <row r="341">
      <c r="A341" s="14" t="n"/>
      <c r="B341" s="7" t="n"/>
      <c r="C341" s="15" t="n"/>
      <c r="D341" s="15" t="n"/>
      <c r="E341" s="7" t="n"/>
      <c r="F341" s="12">
        <f>IF(OR(C341="",D341=""),"",ROUND(MOD(D341-C341,1)*24,2))</f>
        <v/>
      </c>
      <c r="G341" s="7" t="n"/>
      <c r="H341" s="17">
        <f>IF(OR(A341="",B341=""),"",IF(COUNTIFS('Lançamentos Diários'!$A$5:$A$504,A341,'Lançamentos Diários'!$B$5:$B$504,B341)&gt;0,"OK","FALTA LANÇAMENTO"))</f>
        <v/>
      </c>
    </row>
    <row r="342">
      <c r="A342" s="14" t="n"/>
      <c r="B342" s="7" t="n"/>
      <c r="C342" s="15" t="n"/>
      <c r="D342" s="15" t="n"/>
      <c r="E342" s="7" t="n"/>
      <c r="F342" s="12">
        <f>IF(OR(C342="",D342=""),"",ROUND(MOD(D342-C342,1)*24,2))</f>
        <v/>
      </c>
      <c r="G342" s="7" t="n"/>
      <c r="H342" s="17">
        <f>IF(OR(A342="",B342=""),"",IF(COUNTIFS('Lançamentos Diários'!$A$5:$A$504,A342,'Lançamentos Diários'!$B$5:$B$504,B342)&gt;0,"OK","FALTA LANÇAMENTO"))</f>
        <v/>
      </c>
    </row>
    <row r="343">
      <c r="A343" s="14" t="n"/>
      <c r="B343" s="7" t="n"/>
      <c r="C343" s="15" t="n"/>
      <c r="D343" s="15" t="n"/>
      <c r="E343" s="7" t="n"/>
      <c r="F343" s="12">
        <f>IF(OR(C343="",D343=""),"",ROUND(MOD(D343-C343,1)*24,2))</f>
        <v/>
      </c>
      <c r="G343" s="7" t="n"/>
      <c r="H343" s="17">
        <f>IF(OR(A343="",B343=""),"",IF(COUNTIFS('Lançamentos Diários'!$A$5:$A$504,A343,'Lançamentos Diários'!$B$5:$B$504,B343)&gt;0,"OK","FALTA LANÇAMENTO"))</f>
        <v/>
      </c>
    </row>
    <row r="344">
      <c r="A344" s="14" t="n"/>
      <c r="B344" s="7" t="n"/>
      <c r="C344" s="15" t="n"/>
      <c r="D344" s="15" t="n"/>
      <c r="E344" s="7" t="n"/>
      <c r="F344" s="12">
        <f>IF(OR(C344="",D344=""),"",ROUND(MOD(D344-C344,1)*24,2))</f>
        <v/>
      </c>
      <c r="G344" s="7" t="n"/>
      <c r="H344" s="17">
        <f>IF(OR(A344="",B344=""),"",IF(COUNTIFS('Lançamentos Diários'!$A$5:$A$504,A344,'Lançamentos Diários'!$B$5:$B$504,B344)&gt;0,"OK","FALTA LANÇAMENTO"))</f>
        <v/>
      </c>
    </row>
    <row r="345">
      <c r="A345" s="14" t="n"/>
      <c r="B345" s="7" t="n"/>
      <c r="C345" s="15" t="n"/>
      <c r="D345" s="15" t="n"/>
      <c r="E345" s="7" t="n"/>
      <c r="F345" s="12">
        <f>IF(OR(C345="",D345=""),"",ROUND(MOD(D345-C345,1)*24,2))</f>
        <v/>
      </c>
      <c r="G345" s="7" t="n"/>
      <c r="H345" s="17">
        <f>IF(OR(A345="",B345=""),"",IF(COUNTIFS('Lançamentos Diários'!$A$5:$A$504,A345,'Lançamentos Diários'!$B$5:$B$504,B345)&gt;0,"OK","FALTA LANÇAMENTO"))</f>
        <v/>
      </c>
    </row>
    <row r="346">
      <c r="A346" s="14" t="n"/>
      <c r="B346" s="7" t="n"/>
      <c r="C346" s="15" t="n"/>
      <c r="D346" s="15" t="n"/>
      <c r="E346" s="7" t="n"/>
      <c r="F346" s="12">
        <f>IF(OR(C346="",D346=""),"",ROUND(MOD(D346-C346,1)*24,2))</f>
        <v/>
      </c>
      <c r="G346" s="7" t="n"/>
      <c r="H346" s="17">
        <f>IF(OR(A346="",B346=""),"",IF(COUNTIFS('Lançamentos Diários'!$A$5:$A$504,A346,'Lançamentos Diários'!$B$5:$B$504,B346)&gt;0,"OK","FALTA LANÇAMENTO"))</f>
        <v/>
      </c>
    </row>
    <row r="347">
      <c r="A347" s="14" t="n"/>
      <c r="B347" s="7" t="n"/>
      <c r="C347" s="15" t="n"/>
      <c r="D347" s="15" t="n"/>
      <c r="E347" s="7" t="n"/>
      <c r="F347" s="12">
        <f>IF(OR(C347="",D347=""),"",ROUND(MOD(D347-C347,1)*24,2))</f>
        <v/>
      </c>
      <c r="G347" s="7" t="n"/>
      <c r="H347" s="17">
        <f>IF(OR(A347="",B347=""),"",IF(COUNTIFS('Lançamentos Diários'!$A$5:$A$504,A347,'Lançamentos Diários'!$B$5:$B$504,B347)&gt;0,"OK","FALTA LANÇAMENTO"))</f>
        <v/>
      </c>
    </row>
    <row r="348">
      <c r="A348" s="14" t="n"/>
      <c r="B348" s="7" t="n"/>
      <c r="C348" s="15" t="n"/>
      <c r="D348" s="15" t="n"/>
      <c r="E348" s="7" t="n"/>
      <c r="F348" s="12">
        <f>IF(OR(C348="",D348=""),"",ROUND(MOD(D348-C348,1)*24,2))</f>
        <v/>
      </c>
      <c r="G348" s="7" t="n"/>
      <c r="H348" s="17">
        <f>IF(OR(A348="",B348=""),"",IF(COUNTIFS('Lançamentos Diários'!$A$5:$A$504,A348,'Lançamentos Diários'!$B$5:$B$504,B348)&gt;0,"OK","FALTA LANÇAMENTO"))</f>
        <v/>
      </c>
    </row>
    <row r="349">
      <c r="A349" s="14" t="n"/>
      <c r="B349" s="7" t="n"/>
      <c r="C349" s="15" t="n"/>
      <c r="D349" s="15" t="n"/>
      <c r="E349" s="7" t="n"/>
      <c r="F349" s="12">
        <f>IF(OR(C349="",D349=""),"",ROUND(MOD(D349-C349,1)*24,2))</f>
        <v/>
      </c>
      <c r="G349" s="7" t="n"/>
      <c r="H349" s="17">
        <f>IF(OR(A349="",B349=""),"",IF(COUNTIFS('Lançamentos Diários'!$A$5:$A$504,A349,'Lançamentos Diários'!$B$5:$B$504,B349)&gt;0,"OK","FALTA LANÇAMENTO"))</f>
        <v/>
      </c>
    </row>
    <row r="350">
      <c r="A350" s="14" t="n"/>
      <c r="B350" s="7" t="n"/>
      <c r="C350" s="15" t="n"/>
      <c r="D350" s="15" t="n"/>
      <c r="E350" s="7" t="n"/>
      <c r="F350" s="12">
        <f>IF(OR(C350="",D350=""),"",ROUND(MOD(D350-C350,1)*24,2))</f>
        <v/>
      </c>
      <c r="G350" s="7" t="n"/>
      <c r="H350" s="17">
        <f>IF(OR(A350="",B350=""),"",IF(COUNTIFS('Lançamentos Diários'!$A$5:$A$504,A350,'Lançamentos Diários'!$B$5:$B$504,B350)&gt;0,"OK","FALTA LANÇAMENTO"))</f>
        <v/>
      </c>
    </row>
    <row r="351">
      <c r="A351" s="14" t="n"/>
      <c r="B351" s="7" t="n"/>
      <c r="C351" s="15" t="n"/>
      <c r="D351" s="15" t="n"/>
      <c r="E351" s="7" t="n"/>
      <c r="F351" s="12">
        <f>IF(OR(C351="",D351=""),"",ROUND(MOD(D351-C351,1)*24,2))</f>
        <v/>
      </c>
      <c r="G351" s="7" t="n"/>
      <c r="H351" s="17">
        <f>IF(OR(A351="",B351=""),"",IF(COUNTIFS('Lançamentos Diários'!$A$5:$A$504,A351,'Lançamentos Diários'!$B$5:$B$504,B351)&gt;0,"OK","FALTA LANÇAMENTO"))</f>
        <v/>
      </c>
    </row>
    <row r="352">
      <c r="A352" s="14" t="n"/>
      <c r="B352" s="7" t="n"/>
      <c r="C352" s="15" t="n"/>
      <c r="D352" s="15" t="n"/>
      <c r="E352" s="7" t="n"/>
      <c r="F352" s="12">
        <f>IF(OR(C352="",D352=""),"",ROUND(MOD(D352-C352,1)*24,2))</f>
        <v/>
      </c>
      <c r="G352" s="7" t="n"/>
      <c r="H352" s="17">
        <f>IF(OR(A352="",B352=""),"",IF(COUNTIFS('Lançamentos Diários'!$A$5:$A$504,A352,'Lançamentos Diários'!$B$5:$B$504,B352)&gt;0,"OK","FALTA LANÇAMENTO"))</f>
        <v/>
      </c>
    </row>
    <row r="353">
      <c r="A353" s="14" t="n"/>
      <c r="B353" s="7" t="n"/>
      <c r="C353" s="15" t="n"/>
      <c r="D353" s="15" t="n"/>
      <c r="E353" s="7" t="n"/>
      <c r="F353" s="12">
        <f>IF(OR(C353="",D353=""),"",ROUND(MOD(D353-C353,1)*24,2))</f>
        <v/>
      </c>
      <c r="G353" s="7" t="n"/>
      <c r="H353" s="17">
        <f>IF(OR(A353="",B353=""),"",IF(COUNTIFS('Lançamentos Diários'!$A$5:$A$504,A353,'Lançamentos Diários'!$B$5:$B$504,B353)&gt;0,"OK","FALTA LANÇAMENTO"))</f>
        <v/>
      </c>
    </row>
    <row r="354">
      <c r="A354" s="14" t="n"/>
      <c r="B354" s="7" t="n"/>
      <c r="C354" s="15" t="n"/>
      <c r="D354" s="15" t="n"/>
      <c r="E354" s="7" t="n"/>
      <c r="F354" s="12">
        <f>IF(OR(C354="",D354=""),"",ROUND(MOD(D354-C354,1)*24,2))</f>
        <v/>
      </c>
      <c r="G354" s="7" t="n"/>
      <c r="H354" s="17">
        <f>IF(OR(A354="",B354=""),"",IF(COUNTIFS('Lançamentos Diários'!$A$5:$A$504,A354,'Lançamentos Diários'!$B$5:$B$504,B354)&gt;0,"OK","FALTA LANÇAMENTO"))</f>
        <v/>
      </c>
    </row>
    <row r="355">
      <c r="A355" s="14" t="n"/>
      <c r="B355" s="7" t="n"/>
      <c r="C355" s="15" t="n"/>
      <c r="D355" s="15" t="n"/>
      <c r="E355" s="7" t="n"/>
      <c r="F355" s="12">
        <f>IF(OR(C355="",D355=""),"",ROUND(MOD(D355-C355,1)*24,2))</f>
        <v/>
      </c>
      <c r="G355" s="7" t="n"/>
      <c r="H355" s="17">
        <f>IF(OR(A355="",B355=""),"",IF(COUNTIFS('Lançamentos Diários'!$A$5:$A$504,A355,'Lançamentos Diários'!$B$5:$B$504,B355)&gt;0,"OK","FALTA LANÇAMENTO"))</f>
        <v/>
      </c>
    </row>
    <row r="356">
      <c r="A356" s="14" t="n"/>
      <c r="B356" s="7" t="n"/>
      <c r="C356" s="15" t="n"/>
      <c r="D356" s="15" t="n"/>
      <c r="E356" s="7" t="n"/>
      <c r="F356" s="12">
        <f>IF(OR(C356="",D356=""),"",ROUND(MOD(D356-C356,1)*24,2))</f>
        <v/>
      </c>
      <c r="G356" s="7" t="n"/>
      <c r="H356" s="17">
        <f>IF(OR(A356="",B356=""),"",IF(COUNTIFS('Lançamentos Diários'!$A$5:$A$504,A356,'Lançamentos Diários'!$B$5:$B$504,B356)&gt;0,"OK","FALTA LANÇAMENTO"))</f>
        <v/>
      </c>
    </row>
    <row r="357">
      <c r="A357" s="14" t="n"/>
      <c r="B357" s="7" t="n"/>
      <c r="C357" s="15" t="n"/>
      <c r="D357" s="15" t="n"/>
      <c r="E357" s="7" t="n"/>
      <c r="F357" s="12">
        <f>IF(OR(C357="",D357=""),"",ROUND(MOD(D357-C357,1)*24,2))</f>
        <v/>
      </c>
      <c r="G357" s="7" t="n"/>
      <c r="H357" s="17">
        <f>IF(OR(A357="",B357=""),"",IF(COUNTIFS('Lançamentos Diários'!$A$5:$A$504,A357,'Lançamentos Diários'!$B$5:$B$504,B357)&gt;0,"OK","FALTA LANÇAMENTO"))</f>
        <v/>
      </c>
    </row>
    <row r="358">
      <c r="A358" s="14" t="n"/>
      <c r="B358" s="7" t="n"/>
      <c r="C358" s="15" t="n"/>
      <c r="D358" s="15" t="n"/>
      <c r="E358" s="7" t="n"/>
      <c r="F358" s="12">
        <f>IF(OR(C358="",D358=""),"",ROUND(MOD(D358-C358,1)*24,2))</f>
        <v/>
      </c>
      <c r="G358" s="7" t="n"/>
      <c r="H358" s="17">
        <f>IF(OR(A358="",B358=""),"",IF(COUNTIFS('Lançamentos Diários'!$A$5:$A$504,A358,'Lançamentos Diários'!$B$5:$B$504,B358)&gt;0,"OK","FALTA LANÇAMENTO"))</f>
        <v/>
      </c>
    </row>
    <row r="359">
      <c r="A359" s="14" t="n"/>
      <c r="B359" s="7" t="n"/>
      <c r="C359" s="15" t="n"/>
      <c r="D359" s="15" t="n"/>
      <c r="E359" s="7" t="n"/>
      <c r="F359" s="12">
        <f>IF(OR(C359="",D359=""),"",ROUND(MOD(D359-C359,1)*24,2))</f>
        <v/>
      </c>
      <c r="G359" s="7" t="n"/>
      <c r="H359" s="17">
        <f>IF(OR(A359="",B359=""),"",IF(COUNTIFS('Lançamentos Diários'!$A$5:$A$504,A359,'Lançamentos Diários'!$B$5:$B$504,B359)&gt;0,"OK","FALTA LANÇAMENTO"))</f>
        <v/>
      </c>
    </row>
    <row r="360">
      <c r="A360" s="14" t="n"/>
      <c r="B360" s="7" t="n"/>
      <c r="C360" s="15" t="n"/>
      <c r="D360" s="15" t="n"/>
      <c r="E360" s="7" t="n"/>
      <c r="F360" s="12">
        <f>IF(OR(C360="",D360=""),"",ROUND(MOD(D360-C360,1)*24,2))</f>
        <v/>
      </c>
      <c r="G360" s="7" t="n"/>
      <c r="H360" s="17">
        <f>IF(OR(A360="",B360=""),"",IF(COUNTIFS('Lançamentos Diários'!$A$5:$A$504,A360,'Lançamentos Diários'!$B$5:$B$504,B360)&gt;0,"OK","FALTA LANÇAMENTO"))</f>
        <v/>
      </c>
    </row>
    <row r="361">
      <c r="A361" s="14" t="n"/>
      <c r="B361" s="7" t="n"/>
      <c r="C361" s="15" t="n"/>
      <c r="D361" s="15" t="n"/>
      <c r="E361" s="7" t="n"/>
      <c r="F361" s="12">
        <f>IF(OR(C361="",D361=""),"",ROUND(MOD(D361-C361,1)*24,2))</f>
        <v/>
      </c>
      <c r="G361" s="7" t="n"/>
      <c r="H361" s="17">
        <f>IF(OR(A361="",B361=""),"",IF(COUNTIFS('Lançamentos Diários'!$A$5:$A$504,A361,'Lançamentos Diários'!$B$5:$B$504,B361)&gt;0,"OK","FALTA LANÇAMENTO"))</f>
        <v/>
      </c>
    </row>
    <row r="362">
      <c r="A362" s="14" t="n"/>
      <c r="B362" s="7" t="n"/>
      <c r="C362" s="15" t="n"/>
      <c r="D362" s="15" t="n"/>
      <c r="E362" s="7" t="n"/>
      <c r="F362" s="12">
        <f>IF(OR(C362="",D362=""),"",ROUND(MOD(D362-C362,1)*24,2))</f>
        <v/>
      </c>
      <c r="G362" s="7" t="n"/>
      <c r="H362" s="17">
        <f>IF(OR(A362="",B362=""),"",IF(COUNTIFS('Lançamentos Diários'!$A$5:$A$504,A362,'Lançamentos Diários'!$B$5:$B$504,B362)&gt;0,"OK","FALTA LANÇAMENTO"))</f>
        <v/>
      </c>
    </row>
    <row r="363">
      <c r="A363" s="14" t="n"/>
      <c r="B363" s="7" t="n"/>
      <c r="C363" s="15" t="n"/>
      <c r="D363" s="15" t="n"/>
      <c r="E363" s="7" t="n"/>
      <c r="F363" s="12">
        <f>IF(OR(C363="",D363=""),"",ROUND(MOD(D363-C363,1)*24,2))</f>
        <v/>
      </c>
      <c r="G363" s="7" t="n"/>
      <c r="H363" s="17">
        <f>IF(OR(A363="",B363=""),"",IF(COUNTIFS('Lançamentos Diários'!$A$5:$A$504,A363,'Lançamentos Diários'!$B$5:$B$504,B363)&gt;0,"OK","FALTA LANÇAMENTO"))</f>
        <v/>
      </c>
    </row>
    <row r="364">
      <c r="A364" s="14" t="n"/>
      <c r="B364" s="7" t="n"/>
      <c r="C364" s="15" t="n"/>
      <c r="D364" s="15" t="n"/>
      <c r="E364" s="7" t="n"/>
      <c r="F364" s="12">
        <f>IF(OR(C364="",D364=""),"",ROUND(MOD(D364-C364,1)*24,2))</f>
        <v/>
      </c>
      <c r="G364" s="7" t="n"/>
      <c r="H364" s="17">
        <f>IF(OR(A364="",B364=""),"",IF(COUNTIFS('Lançamentos Diários'!$A$5:$A$504,A364,'Lançamentos Diários'!$B$5:$B$504,B364)&gt;0,"OK","FALTA LANÇAMENTO"))</f>
        <v/>
      </c>
    </row>
    <row r="365">
      <c r="A365" s="14" t="n"/>
      <c r="B365" s="7" t="n"/>
      <c r="C365" s="15" t="n"/>
      <c r="D365" s="15" t="n"/>
      <c r="E365" s="7" t="n"/>
      <c r="F365" s="12">
        <f>IF(OR(C365="",D365=""),"",ROUND(MOD(D365-C365,1)*24,2))</f>
        <v/>
      </c>
      <c r="G365" s="7" t="n"/>
      <c r="H365" s="17">
        <f>IF(OR(A365="",B365=""),"",IF(COUNTIFS('Lançamentos Diários'!$A$5:$A$504,A365,'Lançamentos Diários'!$B$5:$B$504,B365)&gt;0,"OK","FALTA LANÇAMENTO"))</f>
        <v/>
      </c>
    </row>
    <row r="366">
      <c r="A366" s="14" t="n"/>
      <c r="B366" s="7" t="n"/>
      <c r="C366" s="15" t="n"/>
      <c r="D366" s="15" t="n"/>
      <c r="E366" s="7" t="n"/>
      <c r="F366" s="12">
        <f>IF(OR(C366="",D366=""),"",ROUND(MOD(D366-C366,1)*24,2))</f>
        <v/>
      </c>
      <c r="G366" s="7" t="n"/>
      <c r="H366" s="17">
        <f>IF(OR(A366="",B366=""),"",IF(COUNTIFS('Lançamentos Diários'!$A$5:$A$504,A366,'Lançamentos Diários'!$B$5:$B$504,B366)&gt;0,"OK","FALTA LANÇAMENTO"))</f>
        <v/>
      </c>
    </row>
    <row r="367">
      <c r="A367" s="14" t="n"/>
      <c r="B367" s="7" t="n"/>
      <c r="C367" s="15" t="n"/>
      <c r="D367" s="15" t="n"/>
      <c r="E367" s="7" t="n"/>
      <c r="F367" s="12">
        <f>IF(OR(C367="",D367=""),"",ROUND(MOD(D367-C367,1)*24,2))</f>
        <v/>
      </c>
      <c r="G367" s="7" t="n"/>
      <c r="H367" s="17">
        <f>IF(OR(A367="",B367=""),"",IF(COUNTIFS('Lançamentos Diários'!$A$5:$A$504,A367,'Lançamentos Diários'!$B$5:$B$504,B367)&gt;0,"OK","FALTA LANÇAMENTO"))</f>
        <v/>
      </c>
    </row>
    <row r="368">
      <c r="A368" s="14" t="n"/>
      <c r="B368" s="7" t="n"/>
      <c r="C368" s="15" t="n"/>
      <c r="D368" s="15" t="n"/>
      <c r="E368" s="7" t="n"/>
      <c r="F368" s="12">
        <f>IF(OR(C368="",D368=""),"",ROUND(MOD(D368-C368,1)*24,2))</f>
        <v/>
      </c>
      <c r="G368" s="7" t="n"/>
      <c r="H368" s="17">
        <f>IF(OR(A368="",B368=""),"",IF(COUNTIFS('Lançamentos Diários'!$A$5:$A$504,A368,'Lançamentos Diários'!$B$5:$B$504,B368)&gt;0,"OK","FALTA LANÇAMENTO"))</f>
        <v/>
      </c>
    </row>
    <row r="369">
      <c r="A369" s="14" t="n"/>
      <c r="B369" s="7" t="n"/>
      <c r="C369" s="15" t="n"/>
      <c r="D369" s="15" t="n"/>
      <c r="E369" s="7" t="n"/>
      <c r="F369" s="12">
        <f>IF(OR(C369="",D369=""),"",ROUND(MOD(D369-C369,1)*24,2))</f>
        <v/>
      </c>
      <c r="G369" s="7" t="n"/>
      <c r="H369" s="17">
        <f>IF(OR(A369="",B369=""),"",IF(COUNTIFS('Lançamentos Diários'!$A$5:$A$504,A369,'Lançamentos Diários'!$B$5:$B$504,B369)&gt;0,"OK","FALTA LANÇAMENTO"))</f>
        <v/>
      </c>
    </row>
    <row r="370">
      <c r="A370" s="14" t="n"/>
      <c r="B370" s="7" t="n"/>
      <c r="C370" s="15" t="n"/>
      <c r="D370" s="15" t="n"/>
      <c r="E370" s="7" t="n"/>
      <c r="F370" s="12">
        <f>IF(OR(C370="",D370=""),"",ROUND(MOD(D370-C370,1)*24,2))</f>
        <v/>
      </c>
      <c r="G370" s="7" t="n"/>
      <c r="H370" s="17">
        <f>IF(OR(A370="",B370=""),"",IF(COUNTIFS('Lançamentos Diários'!$A$5:$A$504,A370,'Lançamentos Diários'!$B$5:$B$504,B370)&gt;0,"OK","FALTA LANÇAMENTO"))</f>
        <v/>
      </c>
    </row>
    <row r="371">
      <c r="A371" s="14" t="n"/>
      <c r="B371" s="7" t="n"/>
      <c r="C371" s="15" t="n"/>
      <c r="D371" s="15" t="n"/>
      <c r="E371" s="7" t="n"/>
      <c r="F371" s="12">
        <f>IF(OR(C371="",D371=""),"",ROUND(MOD(D371-C371,1)*24,2))</f>
        <v/>
      </c>
      <c r="G371" s="7" t="n"/>
      <c r="H371" s="17">
        <f>IF(OR(A371="",B371=""),"",IF(COUNTIFS('Lançamentos Diários'!$A$5:$A$504,A371,'Lançamentos Diários'!$B$5:$B$504,B371)&gt;0,"OK","FALTA LANÇAMENTO"))</f>
        <v/>
      </c>
    </row>
    <row r="372">
      <c r="A372" s="14" t="n"/>
      <c r="B372" s="7" t="n"/>
      <c r="C372" s="15" t="n"/>
      <c r="D372" s="15" t="n"/>
      <c r="E372" s="7" t="n"/>
      <c r="F372" s="12">
        <f>IF(OR(C372="",D372=""),"",ROUND(MOD(D372-C372,1)*24,2))</f>
        <v/>
      </c>
      <c r="G372" s="7" t="n"/>
      <c r="H372" s="17">
        <f>IF(OR(A372="",B372=""),"",IF(COUNTIFS('Lançamentos Diários'!$A$5:$A$504,A372,'Lançamentos Diários'!$B$5:$B$504,B372)&gt;0,"OK","FALTA LANÇAMENTO"))</f>
        <v/>
      </c>
    </row>
    <row r="373">
      <c r="A373" s="14" t="n"/>
      <c r="B373" s="7" t="n"/>
      <c r="C373" s="15" t="n"/>
      <c r="D373" s="15" t="n"/>
      <c r="E373" s="7" t="n"/>
      <c r="F373" s="12">
        <f>IF(OR(C373="",D373=""),"",ROUND(MOD(D373-C373,1)*24,2))</f>
        <v/>
      </c>
      <c r="G373" s="7" t="n"/>
      <c r="H373" s="17">
        <f>IF(OR(A373="",B373=""),"",IF(COUNTIFS('Lançamentos Diários'!$A$5:$A$504,A373,'Lançamentos Diários'!$B$5:$B$504,B373)&gt;0,"OK","FALTA LANÇAMENTO"))</f>
        <v/>
      </c>
    </row>
    <row r="374">
      <c r="A374" s="14" t="n"/>
      <c r="B374" s="7" t="n"/>
      <c r="C374" s="15" t="n"/>
      <c r="D374" s="15" t="n"/>
      <c r="E374" s="7" t="n"/>
      <c r="F374" s="12">
        <f>IF(OR(C374="",D374=""),"",ROUND(MOD(D374-C374,1)*24,2))</f>
        <v/>
      </c>
      <c r="G374" s="7" t="n"/>
      <c r="H374" s="17">
        <f>IF(OR(A374="",B374=""),"",IF(COUNTIFS('Lançamentos Diários'!$A$5:$A$504,A374,'Lançamentos Diários'!$B$5:$B$504,B374)&gt;0,"OK","FALTA LANÇAMENTO"))</f>
        <v/>
      </c>
    </row>
    <row r="375">
      <c r="A375" s="14" t="n"/>
      <c r="B375" s="7" t="n"/>
      <c r="C375" s="15" t="n"/>
      <c r="D375" s="15" t="n"/>
      <c r="E375" s="7" t="n"/>
      <c r="F375" s="12">
        <f>IF(OR(C375="",D375=""),"",ROUND(MOD(D375-C375,1)*24,2))</f>
        <v/>
      </c>
      <c r="G375" s="7" t="n"/>
      <c r="H375" s="17">
        <f>IF(OR(A375="",B375=""),"",IF(COUNTIFS('Lançamentos Diários'!$A$5:$A$504,A375,'Lançamentos Diários'!$B$5:$B$504,B375)&gt;0,"OK","FALTA LANÇAMENTO"))</f>
        <v/>
      </c>
    </row>
    <row r="376">
      <c r="A376" s="14" t="n"/>
      <c r="B376" s="7" t="n"/>
      <c r="C376" s="15" t="n"/>
      <c r="D376" s="15" t="n"/>
      <c r="E376" s="7" t="n"/>
      <c r="F376" s="12">
        <f>IF(OR(C376="",D376=""),"",ROUND(MOD(D376-C376,1)*24,2))</f>
        <v/>
      </c>
      <c r="G376" s="7" t="n"/>
      <c r="H376" s="17">
        <f>IF(OR(A376="",B376=""),"",IF(COUNTIFS('Lançamentos Diários'!$A$5:$A$504,A376,'Lançamentos Diários'!$B$5:$B$504,B376)&gt;0,"OK","FALTA LANÇAMENTO"))</f>
        <v/>
      </c>
    </row>
    <row r="377">
      <c r="A377" s="14" t="n"/>
      <c r="B377" s="7" t="n"/>
      <c r="C377" s="15" t="n"/>
      <c r="D377" s="15" t="n"/>
      <c r="E377" s="7" t="n"/>
      <c r="F377" s="12">
        <f>IF(OR(C377="",D377=""),"",ROUND(MOD(D377-C377,1)*24,2))</f>
        <v/>
      </c>
      <c r="G377" s="7" t="n"/>
      <c r="H377" s="17">
        <f>IF(OR(A377="",B377=""),"",IF(COUNTIFS('Lançamentos Diários'!$A$5:$A$504,A377,'Lançamentos Diários'!$B$5:$B$504,B377)&gt;0,"OK","FALTA LANÇAMENTO"))</f>
        <v/>
      </c>
    </row>
    <row r="378">
      <c r="A378" s="14" t="n"/>
      <c r="B378" s="7" t="n"/>
      <c r="C378" s="15" t="n"/>
      <c r="D378" s="15" t="n"/>
      <c r="E378" s="7" t="n"/>
      <c r="F378" s="12">
        <f>IF(OR(C378="",D378=""),"",ROUND(MOD(D378-C378,1)*24,2))</f>
        <v/>
      </c>
      <c r="G378" s="7" t="n"/>
      <c r="H378" s="17">
        <f>IF(OR(A378="",B378=""),"",IF(COUNTIFS('Lançamentos Diários'!$A$5:$A$504,A378,'Lançamentos Diários'!$B$5:$B$504,B378)&gt;0,"OK","FALTA LANÇAMENTO"))</f>
        <v/>
      </c>
    </row>
    <row r="379">
      <c r="A379" s="14" t="n"/>
      <c r="B379" s="7" t="n"/>
      <c r="C379" s="15" t="n"/>
      <c r="D379" s="15" t="n"/>
      <c r="E379" s="7" t="n"/>
      <c r="F379" s="12">
        <f>IF(OR(C379="",D379=""),"",ROUND(MOD(D379-C379,1)*24,2))</f>
        <v/>
      </c>
      <c r="G379" s="7" t="n"/>
      <c r="H379" s="17">
        <f>IF(OR(A379="",B379=""),"",IF(COUNTIFS('Lançamentos Diários'!$A$5:$A$504,A379,'Lançamentos Diários'!$B$5:$B$504,B379)&gt;0,"OK","FALTA LANÇAMENTO"))</f>
        <v/>
      </c>
    </row>
    <row r="380">
      <c r="A380" s="14" t="n"/>
      <c r="B380" s="7" t="n"/>
      <c r="C380" s="15" t="n"/>
      <c r="D380" s="15" t="n"/>
      <c r="E380" s="7" t="n"/>
      <c r="F380" s="12">
        <f>IF(OR(C380="",D380=""),"",ROUND(MOD(D380-C380,1)*24,2))</f>
        <v/>
      </c>
      <c r="G380" s="7" t="n"/>
      <c r="H380" s="17">
        <f>IF(OR(A380="",B380=""),"",IF(COUNTIFS('Lançamentos Diários'!$A$5:$A$504,A380,'Lançamentos Diários'!$B$5:$B$504,B380)&gt;0,"OK","FALTA LANÇAMENTO"))</f>
        <v/>
      </c>
    </row>
    <row r="381">
      <c r="A381" s="14" t="n"/>
      <c r="B381" s="7" t="n"/>
      <c r="C381" s="15" t="n"/>
      <c r="D381" s="15" t="n"/>
      <c r="E381" s="7" t="n"/>
      <c r="F381" s="12">
        <f>IF(OR(C381="",D381=""),"",ROUND(MOD(D381-C381,1)*24,2))</f>
        <v/>
      </c>
      <c r="G381" s="7" t="n"/>
      <c r="H381" s="17">
        <f>IF(OR(A381="",B381=""),"",IF(COUNTIFS('Lançamentos Diários'!$A$5:$A$504,A381,'Lançamentos Diários'!$B$5:$B$504,B381)&gt;0,"OK","FALTA LANÇAMENTO"))</f>
        <v/>
      </c>
    </row>
    <row r="382">
      <c r="A382" s="14" t="n"/>
      <c r="B382" s="7" t="n"/>
      <c r="C382" s="15" t="n"/>
      <c r="D382" s="15" t="n"/>
      <c r="E382" s="7" t="n"/>
      <c r="F382" s="12">
        <f>IF(OR(C382="",D382=""),"",ROUND(MOD(D382-C382,1)*24,2))</f>
        <v/>
      </c>
      <c r="G382" s="7" t="n"/>
      <c r="H382" s="17">
        <f>IF(OR(A382="",B382=""),"",IF(COUNTIFS('Lançamentos Diários'!$A$5:$A$504,A382,'Lançamentos Diários'!$B$5:$B$504,B382)&gt;0,"OK","FALTA LANÇAMENTO"))</f>
        <v/>
      </c>
    </row>
    <row r="383">
      <c r="A383" s="14" t="n"/>
      <c r="B383" s="7" t="n"/>
      <c r="C383" s="15" t="n"/>
      <c r="D383" s="15" t="n"/>
      <c r="E383" s="7" t="n"/>
      <c r="F383" s="12">
        <f>IF(OR(C383="",D383=""),"",ROUND(MOD(D383-C383,1)*24,2))</f>
        <v/>
      </c>
      <c r="G383" s="7" t="n"/>
      <c r="H383" s="17">
        <f>IF(OR(A383="",B383=""),"",IF(COUNTIFS('Lançamentos Diários'!$A$5:$A$504,A383,'Lançamentos Diários'!$B$5:$B$504,B383)&gt;0,"OK","FALTA LANÇAMENTO"))</f>
        <v/>
      </c>
    </row>
    <row r="384">
      <c r="A384" s="14" t="n"/>
      <c r="B384" s="7" t="n"/>
      <c r="C384" s="15" t="n"/>
      <c r="D384" s="15" t="n"/>
      <c r="E384" s="7" t="n"/>
      <c r="F384" s="12">
        <f>IF(OR(C384="",D384=""),"",ROUND(MOD(D384-C384,1)*24,2))</f>
        <v/>
      </c>
      <c r="G384" s="7" t="n"/>
      <c r="H384" s="17">
        <f>IF(OR(A384="",B384=""),"",IF(COUNTIFS('Lançamentos Diários'!$A$5:$A$504,A384,'Lançamentos Diários'!$B$5:$B$504,B384)&gt;0,"OK","FALTA LANÇAMENTO"))</f>
        <v/>
      </c>
    </row>
    <row r="385">
      <c r="A385" s="14" t="n"/>
      <c r="B385" s="7" t="n"/>
      <c r="C385" s="15" t="n"/>
      <c r="D385" s="15" t="n"/>
      <c r="E385" s="7" t="n"/>
      <c r="F385" s="12">
        <f>IF(OR(C385="",D385=""),"",ROUND(MOD(D385-C385,1)*24,2))</f>
        <v/>
      </c>
      <c r="G385" s="7" t="n"/>
      <c r="H385" s="17">
        <f>IF(OR(A385="",B385=""),"",IF(COUNTIFS('Lançamentos Diários'!$A$5:$A$504,A385,'Lançamentos Diários'!$B$5:$B$504,B385)&gt;0,"OK","FALTA LANÇAMENTO"))</f>
        <v/>
      </c>
    </row>
    <row r="386">
      <c r="A386" s="14" t="n"/>
      <c r="B386" s="7" t="n"/>
      <c r="C386" s="15" t="n"/>
      <c r="D386" s="15" t="n"/>
      <c r="E386" s="7" t="n"/>
      <c r="F386" s="12">
        <f>IF(OR(C386="",D386=""),"",ROUND(MOD(D386-C386,1)*24,2))</f>
        <v/>
      </c>
      <c r="G386" s="7" t="n"/>
      <c r="H386" s="17">
        <f>IF(OR(A386="",B386=""),"",IF(COUNTIFS('Lançamentos Diários'!$A$5:$A$504,A386,'Lançamentos Diários'!$B$5:$B$504,B386)&gt;0,"OK","FALTA LANÇAMENTO"))</f>
        <v/>
      </c>
    </row>
    <row r="387">
      <c r="A387" s="14" t="n"/>
      <c r="B387" s="7" t="n"/>
      <c r="C387" s="15" t="n"/>
      <c r="D387" s="15" t="n"/>
      <c r="E387" s="7" t="n"/>
      <c r="F387" s="12">
        <f>IF(OR(C387="",D387=""),"",ROUND(MOD(D387-C387,1)*24,2))</f>
        <v/>
      </c>
      <c r="G387" s="7" t="n"/>
      <c r="H387" s="17">
        <f>IF(OR(A387="",B387=""),"",IF(COUNTIFS('Lançamentos Diários'!$A$5:$A$504,A387,'Lançamentos Diários'!$B$5:$B$504,B387)&gt;0,"OK","FALTA LANÇAMENTO"))</f>
        <v/>
      </c>
    </row>
    <row r="388">
      <c r="A388" s="14" t="n"/>
      <c r="B388" s="7" t="n"/>
      <c r="C388" s="15" t="n"/>
      <c r="D388" s="15" t="n"/>
      <c r="E388" s="7" t="n"/>
      <c r="F388" s="12">
        <f>IF(OR(C388="",D388=""),"",ROUND(MOD(D388-C388,1)*24,2))</f>
        <v/>
      </c>
      <c r="G388" s="7" t="n"/>
      <c r="H388" s="17">
        <f>IF(OR(A388="",B388=""),"",IF(COUNTIFS('Lançamentos Diários'!$A$5:$A$504,A388,'Lançamentos Diários'!$B$5:$B$504,B388)&gt;0,"OK","FALTA LANÇAMENTO"))</f>
        <v/>
      </c>
    </row>
    <row r="389">
      <c r="A389" s="14" t="n"/>
      <c r="B389" s="7" t="n"/>
      <c r="C389" s="15" t="n"/>
      <c r="D389" s="15" t="n"/>
      <c r="E389" s="7" t="n"/>
      <c r="F389" s="12">
        <f>IF(OR(C389="",D389=""),"",ROUND(MOD(D389-C389,1)*24,2))</f>
        <v/>
      </c>
      <c r="G389" s="7" t="n"/>
      <c r="H389" s="17">
        <f>IF(OR(A389="",B389=""),"",IF(COUNTIFS('Lançamentos Diários'!$A$5:$A$504,A389,'Lançamentos Diários'!$B$5:$B$504,B389)&gt;0,"OK","FALTA LANÇAMENTO"))</f>
        <v/>
      </c>
    </row>
    <row r="390">
      <c r="A390" s="14" t="n"/>
      <c r="B390" s="7" t="n"/>
      <c r="C390" s="15" t="n"/>
      <c r="D390" s="15" t="n"/>
      <c r="E390" s="7" t="n"/>
      <c r="F390" s="12">
        <f>IF(OR(C390="",D390=""),"",ROUND(MOD(D390-C390,1)*24,2))</f>
        <v/>
      </c>
      <c r="G390" s="7" t="n"/>
      <c r="H390" s="17">
        <f>IF(OR(A390="",B390=""),"",IF(COUNTIFS('Lançamentos Diários'!$A$5:$A$504,A390,'Lançamentos Diários'!$B$5:$B$504,B390)&gt;0,"OK","FALTA LANÇAMENTO"))</f>
        <v/>
      </c>
    </row>
    <row r="391">
      <c r="A391" s="14" t="n"/>
      <c r="B391" s="7" t="n"/>
      <c r="C391" s="15" t="n"/>
      <c r="D391" s="15" t="n"/>
      <c r="E391" s="7" t="n"/>
      <c r="F391" s="12">
        <f>IF(OR(C391="",D391=""),"",ROUND(MOD(D391-C391,1)*24,2))</f>
        <v/>
      </c>
      <c r="G391" s="7" t="n"/>
      <c r="H391" s="17">
        <f>IF(OR(A391="",B391=""),"",IF(COUNTIFS('Lançamentos Diários'!$A$5:$A$504,A391,'Lançamentos Diários'!$B$5:$B$504,B391)&gt;0,"OK","FALTA LANÇAMENTO"))</f>
        <v/>
      </c>
    </row>
    <row r="392">
      <c r="A392" s="14" t="n"/>
      <c r="B392" s="7" t="n"/>
      <c r="C392" s="15" t="n"/>
      <c r="D392" s="15" t="n"/>
      <c r="E392" s="7" t="n"/>
      <c r="F392" s="12">
        <f>IF(OR(C392="",D392=""),"",ROUND(MOD(D392-C392,1)*24,2))</f>
        <v/>
      </c>
      <c r="G392" s="7" t="n"/>
      <c r="H392" s="17">
        <f>IF(OR(A392="",B392=""),"",IF(COUNTIFS('Lançamentos Diários'!$A$5:$A$504,A392,'Lançamentos Diários'!$B$5:$B$504,B392)&gt;0,"OK","FALTA LANÇAMENTO"))</f>
        <v/>
      </c>
    </row>
    <row r="393">
      <c r="A393" s="14" t="n"/>
      <c r="B393" s="7" t="n"/>
      <c r="C393" s="15" t="n"/>
      <c r="D393" s="15" t="n"/>
      <c r="E393" s="7" t="n"/>
      <c r="F393" s="12">
        <f>IF(OR(C393="",D393=""),"",ROUND(MOD(D393-C393,1)*24,2))</f>
        <v/>
      </c>
      <c r="G393" s="7" t="n"/>
      <c r="H393" s="17">
        <f>IF(OR(A393="",B393=""),"",IF(COUNTIFS('Lançamentos Diários'!$A$5:$A$504,A393,'Lançamentos Diários'!$B$5:$B$504,B393)&gt;0,"OK","FALTA LANÇAMENTO"))</f>
        <v/>
      </c>
    </row>
    <row r="394">
      <c r="A394" s="14" t="n"/>
      <c r="B394" s="7" t="n"/>
      <c r="C394" s="15" t="n"/>
      <c r="D394" s="15" t="n"/>
      <c r="E394" s="7" t="n"/>
      <c r="F394" s="12">
        <f>IF(OR(C394="",D394=""),"",ROUND(MOD(D394-C394,1)*24,2))</f>
        <v/>
      </c>
      <c r="G394" s="7" t="n"/>
      <c r="H394" s="17">
        <f>IF(OR(A394="",B394=""),"",IF(COUNTIFS('Lançamentos Diários'!$A$5:$A$504,A394,'Lançamentos Diários'!$B$5:$B$504,B394)&gt;0,"OK","FALTA LANÇAMENTO"))</f>
        <v/>
      </c>
    </row>
    <row r="395">
      <c r="A395" s="14" t="n"/>
      <c r="B395" s="7" t="n"/>
      <c r="C395" s="15" t="n"/>
      <c r="D395" s="15" t="n"/>
      <c r="E395" s="7" t="n"/>
      <c r="F395" s="12">
        <f>IF(OR(C395="",D395=""),"",ROUND(MOD(D395-C395,1)*24,2))</f>
        <v/>
      </c>
      <c r="G395" s="7" t="n"/>
      <c r="H395" s="17">
        <f>IF(OR(A395="",B395=""),"",IF(COUNTIFS('Lançamentos Diários'!$A$5:$A$504,A395,'Lançamentos Diários'!$B$5:$B$504,B395)&gt;0,"OK","FALTA LANÇAMENTO"))</f>
        <v/>
      </c>
    </row>
    <row r="396">
      <c r="A396" s="14" t="n"/>
      <c r="B396" s="7" t="n"/>
      <c r="C396" s="15" t="n"/>
      <c r="D396" s="15" t="n"/>
      <c r="E396" s="7" t="n"/>
      <c r="F396" s="12">
        <f>IF(OR(C396="",D396=""),"",ROUND(MOD(D396-C396,1)*24,2))</f>
        <v/>
      </c>
      <c r="G396" s="7" t="n"/>
      <c r="H396" s="17">
        <f>IF(OR(A396="",B396=""),"",IF(COUNTIFS('Lançamentos Diários'!$A$5:$A$504,A396,'Lançamentos Diários'!$B$5:$B$504,B396)&gt;0,"OK","FALTA LANÇAMENTO"))</f>
        <v/>
      </c>
    </row>
    <row r="397">
      <c r="A397" s="14" t="n"/>
      <c r="B397" s="7" t="n"/>
      <c r="C397" s="15" t="n"/>
      <c r="D397" s="15" t="n"/>
      <c r="E397" s="7" t="n"/>
      <c r="F397" s="12">
        <f>IF(OR(C397="",D397=""),"",ROUND(MOD(D397-C397,1)*24,2))</f>
        <v/>
      </c>
      <c r="G397" s="7" t="n"/>
      <c r="H397" s="17">
        <f>IF(OR(A397="",B397=""),"",IF(COUNTIFS('Lançamentos Diários'!$A$5:$A$504,A397,'Lançamentos Diários'!$B$5:$B$504,B397)&gt;0,"OK","FALTA LANÇAMENTO"))</f>
        <v/>
      </c>
    </row>
    <row r="398">
      <c r="A398" s="14" t="n"/>
      <c r="B398" s="7" t="n"/>
      <c r="C398" s="15" t="n"/>
      <c r="D398" s="15" t="n"/>
      <c r="E398" s="7" t="n"/>
      <c r="F398" s="12">
        <f>IF(OR(C398="",D398=""),"",ROUND(MOD(D398-C398,1)*24,2))</f>
        <v/>
      </c>
      <c r="G398" s="7" t="n"/>
      <c r="H398" s="17">
        <f>IF(OR(A398="",B398=""),"",IF(COUNTIFS('Lançamentos Diários'!$A$5:$A$504,A398,'Lançamentos Diários'!$B$5:$B$504,B398)&gt;0,"OK","FALTA LANÇAMENTO"))</f>
        <v/>
      </c>
    </row>
    <row r="399">
      <c r="A399" s="14" t="n"/>
      <c r="B399" s="7" t="n"/>
      <c r="C399" s="15" t="n"/>
      <c r="D399" s="15" t="n"/>
      <c r="E399" s="7" t="n"/>
      <c r="F399" s="12">
        <f>IF(OR(C399="",D399=""),"",ROUND(MOD(D399-C399,1)*24,2))</f>
        <v/>
      </c>
      <c r="G399" s="7" t="n"/>
      <c r="H399" s="17">
        <f>IF(OR(A399="",B399=""),"",IF(COUNTIFS('Lançamentos Diários'!$A$5:$A$504,A399,'Lançamentos Diários'!$B$5:$B$504,B399)&gt;0,"OK","FALTA LANÇAMENTO"))</f>
        <v/>
      </c>
    </row>
    <row r="400">
      <c r="A400" s="14" t="n"/>
      <c r="B400" s="7" t="n"/>
      <c r="C400" s="15" t="n"/>
      <c r="D400" s="15" t="n"/>
      <c r="E400" s="7" t="n"/>
      <c r="F400" s="12">
        <f>IF(OR(C400="",D400=""),"",ROUND(MOD(D400-C400,1)*24,2))</f>
        <v/>
      </c>
      <c r="G400" s="7" t="n"/>
      <c r="H400" s="17">
        <f>IF(OR(A400="",B400=""),"",IF(COUNTIFS('Lançamentos Diários'!$A$5:$A$504,A400,'Lançamentos Diários'!$B$5:$B$504,B400)&gt;0,"OK","FALTA LANÇAMENTO"))</f>
        <v/>
      </c>
    </row>
    <row r="401">
      <c r="A401" s="14" t="n"/>
      <c r="B401" s="7" t="n"/>
      <c r="C401" s="15" t="n"/>
      <c r="D401" s="15" t="n"/>
      <c r="E401" s="7" t="n"/>
      <c r="F401" s="12">
        <f>IF(OR(C401="",D401=""),"",ROUND(MOD(D401-C401,1)*24,2))</f>
        <v/>
      </c>
      <c r="G401" s="7" t="n"/>
      <c r="H401" s="17">
        <f>IF(OR(A401="",B401=""),"",IF(COUNTIFS('Lançamentos Diários'!$A$5:$A$504,A401,'Lançamentos Diários'!$B$5:$B$504,B401)&gt;0,"OK","FALTA LANÇAMENTO"))</f>
        <v/>
      </c>
    </row>
    <row r="402">
      <c r="A402" s="14" t="n"/>
      <c r="B402" s="7" t="n"/>
      <c r="C402" s="15" t="n"/>
      <c r="D402" s="15" t="n"/>
      <c r="E402" s="7" t="n"/>
      <c r="F402" s="12">
        <f>IF(OR(C402="",D402=""),"",ROUND(MOD(D402-C402,1)*24,2))</f>
        <v/>
      </c>
      <c r="G402" s="7" t="n"/>
      <c r="H402" s="17">
        <f>IF(OR(A402="",B402=""),"",IF(COUNTIFS('Lançamentos Diários'!$A$5:$A$504,A402,'Lançamentos Diários'!$B$5:$B$504,B402)&gt;0,"OK","FALTA LANÇAMENTO"))</f>
        <v/>
      </c>
    </row>
    <row r="403">
      <c r="A403" s="14" t="n"/>
      <c r="B403" s="7" t="n"/>
      <c r="C403" s="15" t="n"/>
      <c r="D403" s="15" t="n"/>
      <c r="E403" s="7" t="n"/>
      <c r="F403" s="12">
        <f>IF(OR(C403="",D403=""),"",ROUND(MOD(D403-C403,1)*24,2))</f>
        <v/>
      </c>
      <c r="G403" s="7" t="n"/>
      <c r="H403" s="17">
        <f>IF(OR(A403="",B403=""),"",IF(COUNTIFS('Lançamentos Diários'!$A$5:$A$504,A403,'Lançamentos Diários'!$B$5:$B$504,B403)&gt;0,"OK","FALTA LANÇAMENTO"))</f>
        <v/>
      </c>
    </row>
    <row r="404">
      <c r="A404" s="14" t="n"/>
      <c r="B404" s="7" t="n"/>
      <c r="C404" s="15" t="n"/>
      <c r="D404" s="15" t="n"/>
      <c r="E404" s="7" t="n"/>
      <c r="F404" s="12">
        <f>IF(OR(C404="",D404=""),"",ROUND(MOD(D404-C404,1)*24,2))</f>
        <v/>
      </c>
      <c r="G404" s="7" t="n"/>
      <c r="H404" s="17">
        <f>IF(OR(A404="",B404=""),"",IF(COUNTIFS('Lançamentos Diários'!$A$5:$A$504,A404,'Lançamentos Diários'!$B$5:$B$504,B404)&gt;0,"OK","FALTA LANÇAMENTO"))</f>
        <v/>
      </c>
    </row>
    <row r="405">
      <c r="A405" s="14" t="n"/>
      <c r="B405" s="7" t="n"/>
      <c r="C405" s="15" t="n"/>
      <c r="D405" s="15" t="n"/>
      <c r="E405" s="7" t="n"/>
      <c r="F405" s="12">
        <f>IF(OR(C405="",D405=""),"",ROUND(MOD(D405-C405,1)*24,2))</f>
        <v/>
      </c>
      <c r="G405" s="7" t="n"/>
      <c r="H405" s="17">
        <f>IF(OR(A405="",B405=""),"",IF(COUNTIFS('Lançamentos Diários'!$A$5:$A$504,A405,'Lançamentos Diários'!$B$5:$B$504,B405)&gt;0,"OK","FALTA LANÇAMENTO"))</f>
        <v/>
      </c>
    </row>
    <row r="406">
      <c r="A406" s="14" t="n"/>
      <c r="B406" s="7" t="n"/>
      <c r="C406" s="15" t="n"/>
      <c r="D406" s="15" t="n"/>
      <c r="E406" s="7" t="n"/>
      <c r="F406" s="12">
        <f>IF(OR(C406="",D406=""),"",ROUND(MOD(D406-C406,1)*24,2))</f>
        <v/>
      </c>
      <c r="G406" s="7" t="n"/>
      <c r="H406" s="17">
        <f>IF(OR(A406="",B406=""),"",IF(COUNTIFS('Lançamentos Diários'!$A$5:$A$504,A406,'Lançamentos Diários'!$B$5:$B$504,B406)&gt;0,"OK","FALTA LANÇAMENTO"))</f>
        <v/>
      </c>
    </row>
    <row r="407">
      <c r="A407" s="14" t="n"/>
      <c r="B407" s="7" t="n"/>
      <c r="C407" s="15" t="n"/>
      <c r="D407" s="15" t="n"/>
      <c r="E407" s="7" t="n"/>
      <c r="F407" s="12">
        <f>IF(OR(C407="",D407=""),"",ROUND(MOD(D407-C407,1)*24,2))</f>
        <v/>
      </c>
      <c r="G407" s="7" t="n"/>
      <c r="H407" s="17">
        <f>IF(OR(A407="",B407=""),"",IF(COUNTIFS('Lançamentos Diários'!$A$5:$A$504,A407,'Lançamentos Diários'!$B$5:$B$504,B407)&gt;0,"OK","FALTA LANÇAMENTO"))</f>
        <v/>
      </c>
    </row>
    <row r="408">
      <c r="A408" s="14" t="n"/>
      <c r="B408" s="7" t="n"/>
      <c r="C408" s="15" t="n"/>
      <c r="D408" s="15" t="n"/>
      <c r="E408" s="7" t="n"/>
      <c r="F408" s="12">
        <f>IF(OR(C408="",D408=""),"",ROUND(MOD(D408-C408,1)*24,2))</f>
        <v/>
      </c>
      <c r="G408" s="7" t="n"/>
      <c r="H408" s="17">
        <f>IF(OR(A408="",B408=""),"",IF(COUNTIFS('Lançamentos Diários'!$A$5:$A$504,A408,'Lançamentos Diários'!$B$5:$B$504,B408)&gt;0,"OK","FALTA LANÇAMENTO"))</f>
        <v/>
      </c>
    </row>
    <row r="409">
      <c r="A409" s="14" t="n"/>
      <c r="B409" s="7" t="n"/>
      <c r="C409" s="15" t="n"/>
      <c r="D409" s="15" t="n"/>
      <c r="E409" s="7" t="n"/>
      <c r="F409" s="12">
        <f>IF(OR(C409="",D409=""),"",ROUND(MOD(D409-C409,1)*24,2))</f>
        <v/>
      </c>
      <c r="G409" s="7" t="n"/>
      <c r="H409" s="17">
        <f>IF(OR(A409="",B409=""),"",IF(COUNTIFS('Lançamentos Diários'!$A$5:$A$504,A409,'Lançamentos Diários'!$B$5:$B$504,B409)&gt;0,"OK","FALTA LANÇAMENTO"))</f>
        <v/>
      </c>
    </row>
    <row r="410">
      <c r="A410" s="14" t="n"/>
      <c r="B410" s="7" t="n"/>
      <c r="C410" s="15" t="n"/>
      <c r="D410" s="15" t="n"/>
      <c r="E410" s="7" t="n"/>
      <c r="F410" s="12">
        <f>IF(OR(C410="",D410=""),"",ROUND(MOD(D410-C410,1)*24,2))</f>
        <v/>
      </c>
      <c r="G410" s="7" t="n"/>
      <c r="H410" s="17">
        <f>IF(OR(A410="",B410=""),"",IF(COUNTIFS('Lançamentos Diários'!$A$5:$A$504,A410,'Lançamentos Diários'!$B$5:$B$504,B410)&gt;0,"OK","FALTA LANÇAMENTO"))</f>
        <v/>
      </c>
    </row>
    <row r="411">
      <c r="A411" s="14" t="n"/>
      <c r="B411" s="7" t="n"/>
      <c r="C411" s="15" t="n"/>
      <c r="D411" s="15" t="n"/>
      <c r="E411" s="7" t="n"/>
      <c r="F411" s="12">
        <f>IF(OR(C411="",D411=""),"",ROUND(MOD(D411-C411,1)*24,2))</f>
        <v/>
      </c>
      <c r="G411" s="7" t="n"/>
      <c r="H411" s="17">
        <f>IF(OR(A411="",B411=""),"",IF(COUNTIFS('Lançamentos Diários'!$A$5:$A$504,A411,'Lançamentos Diários'!$B$5:$B$504,B411)&gt;0,"OK","FALTA LANÇAMENTO"))</f>
        <v/>
      </c>
    </row>
    <row r="412">
      <c r="A412" s="14" t="n"/>
      <c r="B412" s="7" t="n"/>
      <c r="C412" s="15" t="n"/>
      <c r="D412" s="15" t="n"/>
      <c r="E412" s="7" t="n"/>
      <c r="F412" s="12">
        <f>IF(OR(C412="",D412=""),"",ROUND(MOD(D412-C412,1)*24,2))</f>
        <v/>
      </c>
      <c r="G412" s="7" t="n"/>
      <c r="H412" s="17">
        <f>IF(OR(A412="",B412=""),"",IF(COUNTIFS('Lançamentos Diários'!$A$5:$A$504,A412,'Lançamentos Diários'!$B$5:$B$504,B412)&gt;0,"OK","FALTA LANÇAMENTO"))</f>
        <v/>
      </c>
    </row>
    <row r="413">
      <c r="A413" s="14" t="n"/>
      <c r="B413" s="7" t="n"/>
      <c r="C413" s="15" t="n"/>
      <c r="D413" s="15" t="n"/>
      <c r="E413" s="7" t="n"/>
      <c r="F413" s="12">
        <f>IF(OR(C413="",D413=""),"",ROUND(MOD(D413-C413,1)*24,2))</f>
        <v/>
      </c>
      <c r="G413" s="7" t="n"/>
      <c r="H413" s="17">
        <f>IF(OR(A413="",B413=""),"",IF(COUNTIFS('Lançamentos Diários'!$A$5:$A$504,A413,'Lançamentos Diários'!$B$5:$B$504,B413)&gt;0,"OK","FALTA LANÇAMENTO"))</f>
        <v/>
      </c>
    </row>
    <row r="414">
      <c r="A414" s="14" t="n"/>
      <c r="B414" s="7" t="n"/>
      <c r="C414" s="15" t="n"/>
      <c r="D414" s="15" t="n"/>
      <c r="E414" s="7" t="n"/>
      <c r="F414" s="12">
        <f>IF(OR(C414="",D414=""),"",ROUND(MOD(D414-C414,1)*24,2))</f>
        <v/>
      </c>
      <c r="G414" s="7" t="n"/>
      <c r="H414" s="17">
        <f>IF(OR(A414="",B414=""),"",IF(COUNTIFS('Lançamentos Diários'!$A$5:$A$504,A414,'Lançamentos Diários'!$B$5:$B$504,B414)&gt;0,"OK","FALTA LANÇAMENTO"))</f>
        <v/>
      </c>
    </row>
    <row r="415">
      <c r="A415" s="14" t="n"/>
      <c r="B415" s="7" t="n"/>
      <c r="C415" s="15" t="n"/>
      <c r="D415" s="15" t="n"/>
      <c r="E415" s="7" t="n"/>
      <c r="F415" s="12">
        <f>IF(OR(C415="",D415=""),"",ROUND(MOD(D415-C415,1)*24,2))</f>
        <v/>
      </c>
      <c r="G415" s="7" t="n"/>
      <c r="H415" s="17">
        <f>IF(OR(A415="",B415=""),"",IF(COUNTIFS('Lançamentos Diários'!$A$5:$A$504,A415,'Lançamentos Diários'!$B$5:$B$504,B415)&gt;0,"OK","FALTA LANÇAMENTO"))</f>
        <v/>
      </c>
    </row>
    <row r="416">
      <c r="A416" s="14" t="n"/>
      <c r="B416" s="7" t="n"/>
      <c r="C416" s="15" t="n"/>
      <c r="D416" s="15" t="n"/>
      <c r="E416" s="7" t="n"/>
      <c r="F416" s="12">
        <f>IF(OR(C416="",D416=""),"",ROUND(MOD(D416-C416,1)*24,2))</f>
        <v/>
      </c>
      <c r="G416" s="7" t="n"/>
      <c r="H416" s="17">
        <f>IF(OR(A416="",B416=""),"",IF(COUNTIFS('Lançamentos Diários'!$A$5:$A$504,A416,'Lançamentos Diários'!$B$5:$B$504,B416)&gt;0,"OK","FALTA LANÇAMENTO"))</f>
        <v/>
      </c>
    </row>
    <row r="417">
      <c r="A417" s="14" t="n"/>
      <c r="B417" s="7" t="n"/>
      <c r="C417" s="15" t="n"/>
      <c r="D417" s="15" t="n"/>
      <c r="E417" s="7" t="n"/>
      <c r="F417" s="12">
        <f>IF(OR(C417="",D417=""),"",ROUND(MOD(D417-C417,1)*24,2))</f>
        <v/>
      </c>
      <c r="G417" s="7" t="n"/>
      <c r="H417" s="17">
        <f>IF(OR(A417="",B417=""),"",IF(COUNTIFS('Lançamentos Diários'!$A$5:$A$504,A417,'Lançamentos Diários'!$B$5:$B$504,B417)&gt;0,"OK","FALTA LANÇAMENTO"))</f>
        <v/>
      </c>
    </row>
    <row r="418">
      <c r="A418" s="14" t="n"/>
      <c r="B418" s="7" t="n"/>
      <c r="C418" s="15" t="n"/>
      <c r="D418" s="15" t="n"/>
      <c r="E418" s="7" t="n"/>
      <c r="F418" s="12">
        <f>IF(OR(C418="",D418=""),"",ROUND(MOD(D418-C418,1)*24,2))</f>
        <v/>
      </c>
      <c r="G418" s="7" t="n"/>
      <c r="H418" s="17">
        <f>IF(OR(A418="",B418=""),"",IF(COUNTIFS('Lançamentos Diários'!$A$5:$A$504,A418,'Lançamentos Diários'!$B$5:$B$504,B418)&gt;0,"OK","FALTA LANÇAMENTO"))</f>
        <v/>
      </c>
    </row>
    <row r="419">
      <c r="A419" s="14" t="n"/>
      <c r="B419" s="7" t="n"/>
      <c r="C419" s="15" t="n"/>
      <c r="D419" s="15" t="n"/>
      <c r="E419" s="7" t="n"/>
      <c r="F419" s="12">
        <f>IF(OR(C419="",D419=""),"",ROUND(MOD(D419-C419,1)*24,2))</f>
        <v/>
      </c>
      <c r="G419" s="7" t="n"/>
      <c r="H419" s="17">
        <f>IF(OR(A419="",B419=""),"",IF(COUNTIFS('Lançamentos Diários'!$A$5:$A$504,A419,'Lançamentos Diários'!$B$5:$B$504,B419)&gt;0,"OK","FALTA LANÇAMENTO"))</f>
        <v/>
      </c>
    </row>
    <row r="420">
      <c r="A420" s="14" t="n"/>
      <c r="B420" s="7" t="n"/>
      <c r="C420" s="15" t="n"/>
      <c r="D420" s="15" t="n"/>
      <c r="E420" s="7" t="n"/>
      <c r="F420" s="12">
        <f>IF(OR(C420="",D420=""),"",ROUND(MOD(D420-C420,1)*24,2))</f>
        <v/>
      </c>
      <c r="G420" s="7" t="n"/>
      <c r="H420" s="17">
        <f>IF(OR(A420="",B420=""),"",IF(COUNTIFS('Lançamentos Diários'!$A$5:$A$504,A420,'Lançamentos Diários'!$B$5:$B$504,B420)&gt;0,"OK","FALTA LANÇAMENTO"))</f>
        <v/>
      </c>
    </row>
    <row r="421">
      <c r="A421" s="14" t="n"/>
      <c r="B421" s="7" t="n"/>
      <c r="C421" s="15" t="n"/>
      <c r="D421" s="15" t="n"/>
      <c r="E421" s="7" t="n"/>
      <c r="F421" s="12">
        <f>IF(OR(C421="",D421=""),"",ROUND(MOD(D421-C421,1)*24,2))</f>
        <v/>
      </c>
      <c r="G421" s="7" t="n"/>
      <c r="H421" s="17">
        <f>IF(OR(A421="",B421=""),"",IF(COUNTIFS('Lançamentos Diários'!$A$5:$A$504,A421,'Lançamentos Diários'!$B$5:$B$504,B421)&gt;0,"OK","FALTA LANÇAMENTO"))</f>
        <v/>
      </c>
    </row>
    <row r="422">
      <c r="A422" s="14" t="n"/>
      <c r="B422" s="7" t="n"/>
      <c r="C422" s="15" t="n"/>
      <c r="D422" s="15" t="n"/>
      <c r="E422" s="7" t="n"/>
      <c r="F422" s="12">
        <f>IF(OR(C422="",D422=""),"",ROUND(MOD(D422-C422,1)*24,2))</f>
        <v/>
      </c>
      <c r="G422" s="7" t="n"/>
      <c r="H422" s="17">
        <f>IF(OR(A422="",B422=""),"",IF(COUNTIFS('Lançamentos Diários'!$A$5:$A$504,A422,'Lançamentos Diários'!$B$5:$B$504,B422)&gt;0,"OK","FALTA LANÇAMENTO"))</f>
        <v/>
      </c>
    </row>
    <row r="423">
      <c r="A423" s="14" t="n"/>
      <c r="B423" s="7" t="n"/>
      <c r="C423" s="15" t="n"/>
      <c r="D423" s="15" t="n"/>
      <c r="E423" s="7" t="n"/>
      <c r="F423" s="12">
        <f>IF(OR(C423="",D423=""),"",ROUND(MOD(D423-C423,1)*24,2))</f>
        <v/>
      </c>
      <c r="G423" s="7" t="n"/>
      <c r="H423" s="17">
        <f>IF(OR(A423="",B423=""),"",IF(COUNTIFS('Lançamentos Diários'!$A$5:$A$504,A423,'Lançamentos Diários'!$B$5:$B$504,B423)&gt;0,"OK","FALTA LANÇAMENTO"))</f>
        <v/>
      </c>
    </row>
    <row r="424">
      <c r="A424" s="14" t="n"/>
      <c r="B424" s="7" t="n"/>
      <c r="C424" s="15" t="n"/>
      <c r="D424" s="15" t="n"/>
      <c r="E424" s="7" t="n"/>
      <c r="F424" s="12">
        <f>IF(OR(C424="",D424=""),"",ROUND(MOD(D424-C424,1)*24,2))</f>
        <v/>
      </c>
      <c r="G424" s="7" t="n"/>
      <c r="H424" s="17">
        <f>IF(OR(A424="",B424=""),"",IF(COUNTIFS('Lançamentos Diários'!$A$5:$A$504,A424,'Lançamentos Diários'!$B$5:$B$504,B424)&gt;0,"OK","FALTA LANÇAMENTO"))</f>
        <v/>
      </c>
    </row>
    <row r="425">
      <c r="A425" s="14" t="n"/>
      <c r="B425" s="7" t="n"/>
      <c r="C425" s="15" t="n"/>
      <c r="D425" s="15" t="n"/>
      <c r="E425" s="7" t="n"/>
      <c r="F425" s="12">
        <f>IF(OR(C425="",D425=""),"",ROUND(MOD(D425-C425,1)*24,2))</f>
        <v/>
      </c>
      <c r="G425" s="7" t="n"/>
      <c r="H425" s="17">
        <f>IF(OR(A425="",B425=""),"",IF(COUNTIFS('Lançamentos Diários'!$A$5:$A$504,A425,'Lançamentos Diários'!$B$5:$B$504,B425)&gt;0,"OK","FALTA LANÇAMENTO"))</f>
        <v/>
      </c>
    </row>
    <row r="426">
      <c r="A426" s="14" t="n"/>
      <c r="B426" s="7" t="n"/>
      <c r="C426" s="15" t="n"/>
      <c r="D426" s="15" t="n"/>
      <c r="E426" s="7" t="n"/>
      <c r="F426" s="12">
        <f>IF(OR(C426="",D426=""),"",ROUND(MOD(D426-C426,1)*24,2))</f>
        <v/>
      </c>
      <c r="G426" s="7" t="n"/>
      <c r="H426" s="17">
        <f>IF(OR(A426="",B426=""),"",IF(COUNTIFS('Lançamentos Diários'!$A$5:$A$504,A426,'Lançamentos Diários'!$B$5:$B$504,B426)&gt;0,"OK","FALTA LANÇAMENTO"))</f>
        <v/>
      </c>
    </row>
    <row r="427">
      <c r="A427" s="14" t="n"/>
      <c r="B427" s="7" t="n"/>
      <c r="C427" s="15" t="n"/>
      <c r="D427" s="15" t="n"/>
      <c r="E427" s="7" t="n"/>
      <c r="F427" s="12">
        <f>IF(OR(C427="",D427=""),"",ROUND(MOD(D427-C427,1)*24,2))</f>
        <v/>
      </c>
      <c r="G427" s="7" t="n"/>
      <c r="H427" s="17">
        <f>IF(OR(A427="",B427=""),"",IF(COUNTIFS('Lançamentos Diários'!$A$5:$A$504,A427,'Lançamentos Diários'!$B$5:$B$504,B427)&gt;0,"OK","FALTA LANÇAMENTO"))</f>
        <v/>
      </c>
    </row>
    <row r="428">
      <c r="A428" s="14" t="n"/>
      <c r="B428" s="7" t="n"/>
      <c r="C428" s="15" t="n"/>
      <c r="D428" s="15" t="n"/>
      <c r="E428" s="7" t="n"/>
      <c r="F428" s="12">
        <f>IF(OR(C428="",D428=""),"",ROUND(MOD(D428-C428,1)*24,2))</f>
        <v/>
      </c>
      <c r="G428" s="7" t="n"/>
      <c r="H428" s="17">
        <f>IF(OR(A428="",B428=""),"",IF(COUNTIFS('Lançamentos Diários'!$A$5:$A$504,A428,'Lançamentos Diários'!$B$5:$B$504,B428)&gt;0,"OK","FALTA LANÇAMENTO"))</f>
        <v/>
      </c>
    </row>
    <row r="429">
      <c r="A429" s="14" t="n"/>
      <c r="B429" s="7" t="n"/>
      <c r="C429" s="15" t="n"/>
      <c r="D429" s="15" t="n"/>
      <c r="E429" s="7" t="n"/>
      <c r="F429" s="12">
        <f>IF(OR(C429="",D429=""),"",ROUND(MOD(D429-C429,1)*24,2))</f>
        <v/>
      </c>
      <c r="G429" s="7" t="n"/>
      <c r="H429" s="17">
        <f>IF(OR(A429="",B429=""),"",IF(COUNTIFS('Lançamentos Diários'!$A$5:$A$504,A429,'Lançamentos Diários'!$B$5:$B$504,B429)&gt;0,"OK","FALTA LANÇAMENTO"))</f>
        <v/>
      </c>
    </row>
    <row r="430">
      <c r="A430" s="14" t="n"/>
      <c r="B430" s="7" t="n"/>
      <c r="C430" s="15" t="n"/>
      <c r="D430" s="15" t="n"/>
      <c r="E430" s="7" t="n"/>
      <c r="F430" s="12">
        <f>IF(OR(C430="",D430=""),"",ROUND(MOD(D430-C430,1)*24,2))</f>
        <v/>
      </c>
      <c r="G430" s="7" t="n"/>
      <c r="H430" s="17">
        <f>IF(OR(A430="",B430=""),"",IF(COUNTIFS('Lançamentos Diários'!$A$5:$A$504,A430,'Lançamentos Diários'!$B$5:$B$504,B430)&gt;0,"OK","FALTA LANÇAMENTO"))</f>
        <v/>
      </c>
    </row>
    <row r="431">
      <c r="A431" s="14" t="n"/>
      <c r="B431" s="7" t="n"/>
      <c r="C431" s="15" t="n"/>
      <c r="D431" s="15" t="n"/>
      <c r="E431" s="7" t="n"/>
      <c r="F431" s="12">
        <f>IF(OR(C431="",D431=""),"",ROUND(MOD(D431-C431,1)*24,2))</f>
        <v/>
      </c>
      <c r="G431" s="7" t="n"/>
      <c r="H431" s="17">
        <f>IF(OR(A431="",B431=""),"",IF(COUNTIFS('Lançamentos Diários'!$A$5:$A$504,A431,'Lançamentos Diários'!$B$5:$B$504,B431)&gt;0,"OK","FALTA LANÇAMENTO"))</f>
        <v/>
      </c>
    </row>
    <row r="432">
      <c r="A432" s="14" t="n"/>
      <c r="B432" s="7" t="n"/>
      <c r="C432" s="15" t="n"/>
      <c r="D432" s="15" t="n"/>
      <c r="E432" s="7" t="n"/>
      <c r="F432" s="12">
        <f>IF(OR(C432="",D432=""),"",ROUND(MOD(D432-C432,1)*24,2))</f>
        <v/>
      </c>
      <c r="G432" s="7" t="n"/>
      <c r="H432" s="17">
        <f>IF(OR(A432="",B432=""),"",IF(COUNTIFS('Lançamentos Diários'!$A$5:$A$504,A432,'Lançamentos Diários'!$B$5:$B$504,B432)&gt;0,"OK","FALTA LANÇAMENTO"))</f>
        <v/>
      </c>
    </row>
    <row r="433">
      <c r="A433" s="14" t="n"/>
      <c r="B433" s="7" t="n"/>
      <c r="C433" s="15" t="n"/>
      <c r="D433" s="15" t="n"/>
      <c r="E433" s="7" t="n"/>
      <c r="F433" s="12">
        <f>IF(OR(C433="",D433=""),"",ROUND(MOD(D433-C433,1)*24,2))</f>
        <v/>
      </c>
      <c r="G433" s="7" t="n"/>
      <c r="H433" s="17">
        <f>IF(OR(A433="",B433=""),"",IF(COUNTIFS('Lançamentos Diários'!$A$5:$A$504,A433,'Lançamentos Diários'!$B$5:$B$504,B433)&gt;0,"OK","FALTA LANÇAMENTO"))</f>
        <v/>
      </c>
    </row>
    <row r="434">
      <c r="A434" s="14" t="n"/>
      <c r="B434" s="7" t="n"/>
      <c r="C434" s="15" t="n"/>
      <c r="D434" s="15" t="n"/>
      <c r="E434" s="7" t="n"/>
      <c r="F434" s="12">
        <f>IF(OR(C434="",D434=""),"",ROUND(MOD(D434-C434,1)*24,2))</f>
        <v/>
      </c>
      <c r="G434" s="7" t="n"/>
      <c r="H434" s="17">
        <f>IF(OR(A434="",B434=""),"",IF(COUNTIFS('Lançamentos Diários'!$A$5:$A$504,A434,'Lançamentos Diários'!$B$5:$B$504,B434)&gt;0,"OK","FALTA LANÇAMENTO"))</f>
        <v/>
      </c>
    </row>
    <row r="435">
      <c r="A435" s="14" t="n"/>
      <c r="B435" s="7" t="n"/>
      <c r="C435" s="15" t="n"/>
      <c r="D435" s="15" t="n"/>
      <c r="E435" s="7" t="n"/>
      <c r="F435" s="12">
        <f>IF(OR(C435="",D435=""),"",ROUND(MOD(D435-C435,1)*24,2))</f>
        <v/>
      </c>
      <c r="G435" s="7" t="n"/>
      <c r="H435" s="17">
        <f>IF(OR(A435="",B435=""),"",IF(COUNTIFS('Lançamentos Diários'!$A$5:$A$504,A435,'Lançamentos Diários'!$B$5:$B$504,B435)&gt;0,"OK","FALTA LANÇAMENTO"))</f>
        <v/>
      </c>
    </row>
    <row r="436">
      <c r="A436" s="14" t="n"/>
      <c r="B436" s="7" t="n"/>
      <c r="C436" s="15" t="n"/>
      <c r="D436" s="15" t="n"/>
      <c r="E436" s="7" t="n"/>
      <c r="F436" s="12">
        <f>IF(OR(C436="",D436=""),"",ROUND(MOD(D436-C436,1)*24,2))</f>
        <v/>
      </c>
      <c r="G436" s="7" t="n"/>
      <c r="H436" s="17">
        <f>IF(OR(A436="",B436=""),"",IF(COUNTIFS('Lançamentos Diários'!$A$5:$A$504,A436,'Lançamentos Diários'!$B$5:$B$504,B436)&gt;0,"OK","FALTA LANÇAMENTO"))</f>
        <v/>
      </c>
    </row>
    <row r="437">
      <c r="A437" s="14" t="n"/>
      <c r="B437" s="7" t="n"/>
      <c r="C437" s="15" t="n"/>
      <c r="D437" s="15" t="n"/>
      <c r="E437" s="7" t="n"/>
      <c r="F437" s="12">
        <f>IF(OR(C437="",D437=""),"",ROUND(MOD(D437-C437,1)*24,2))</f>
        <v/>
      </c>
      <c r="G437" s="7" t="n"/>
      <c r="H437" s="17">
        <f>IF(OR(A437="",B437=""),"",IF(COUNTIFS('Lançamentos Diários'!$A$5:$A$504,A437,'Lançamentos Diários'!$B$5:$B$504,B437)&gt;0,"OK","FALTA LANÇAMENTO"))</f>
        <v/>
      </c>
    </row>
    <row r="438">
      <c r="A438" s="14" t="n"/>
      <c r="B438" s="7" t="n"/>
      <c r="C438" s="15" t="n"/>
      <c r="D438" s="15" t="n"/>
      <c r="E438" s="7" t="n"/>
      <c r="F438" s="12">
        <f>IF(OR(C438="",D438=""),"",ROUND(MOD(D438-C438,1)*24,2))</f>
        <v/>
      </c>
      <c r="G438" s="7" t="n"/>
      <c r="H438" s="17">
        <f>IF(OR(A438="",B438=""),"",IF(COUNTIFS('Lançamentos Diários'!$A$5:$A$504,A438,'Lançamentos Diários'!$B$5:$B$504,B438)&gt;0,"OK","FALTA LANÇAMENTO"))</f>
        <v/>
      </c>
    </row>
    <row r="439">
      <c r="A439" s="14" t="n"/>
      <c r="B439" s="7" t="n"/>
      <c r="C439" s="15" t="n"/>
      <c r="D439" s="15" t="n"/>
      <c r="E439" s="7" t="n"/>
      <c r="F439" s="12">
        <f>IF(OR(C439="",D439=""),"",ROUND(MOD(D439-C439,1)*24,2))</f>
        <v/>
      </c>
      <c r="G439" s="7" t="n"/>
      <c r="H439" s="17">
        <f>IF(OR(A439="",B439=""),"",IF(COUNTIFS('Lançamentos Diários'!$A$5:$A$504,A439,'Lançamentos Diários'!$B$5:$B$504,B439)&gt;0,"OK","FALTA LANÇAMENTO"))</f>
        <v/>
      </c>
    </row>
    <row r="440">
      <c r="A440" s="14" t="n"/>
      <c r="B440" s="7" t="n"/>
      <c r="C440" s="15" t="n"/>
      <c r="D440" s="15" t="n"/>
      <c r="E440" s="7" t="n"/>
      <c r="F440" s="12">
        <f>IF(OR(C440="",D440=""),"",ROUND(MOD(D440-C440,1)*24,2))</f>
        <v/>
      </c>
      <c r="G440" s="7" t="n"/>
      <c r="H440" s="17">
        <f>IF(OR(A440="",B440=""),"",IF(COUNTIFS('Lançamentos Diários'!$A$5:$A$504,A440,'Lançamentos Diários'!$B$5:$B$504,B440)&gt;0,"OK","FALTA LANÇAMENTO"))</f>
        <v/>
      </c>
    </row>
    <row r="441">
      <c r="A441" s="14" t="n"/>
      <c r="B441" s="7" t="n"/>
      <c r="C441" s="15" t="n"/>
      <c r="D441" s="15" t="n"/>
      <c r="E441" s="7" t="n"/>
      <c r="F441" s="12">
        <f>IF(OR(C441="",D441=""),"",ROUND(MOD(D441-C441,1)*24,2))</f>
        <v/>
      </c>
      <c r="G441" s="7" t="n"/>
      <c r="H441" s="17">
        <f>IF(OR(A441="",B441=""),"",IF(COUNTIFS('Lançamentos Diários'!$A$5:$A$504,A441,'Lançamentos Diários'!$B$5:$B$504,B441)&gt;0,"OK","FALTA LANÇAMENTO"))</f>
        <v/>
      </c>
    </row>
    <row r="442">
      <c r="A442" s="14" t="n"/>
      <c r="B442" s="7" t="n"/>
      <c r="C442" s="15" t="n"/>
      <c r="D442" s="15" t="n"/>
      <c r="E442" s="7" t="n"/>
      <c r="F442" s="12">
        <f>IF(OR(C442="",D442=""),"",ROUND(MOD(D442-C442,1)*24,2))</f>
        <v/>
      </c>
      <c r="G442" s="7" t="n"/>
      <c r="H442" s="17">
        <f>IF(OR(A442="",B442=""),"",IF(COUNTIFS('Lançamentos Diários'!$A$5:$A$504,A442,'Lançamentos Diários'!$B$5:$B$504,B442)&gt;0,"OK","FALTA LANÇAMENTO"))</f>
        <v/>
      </c>
    </row>
    <row r="443">
      <c r="A443" s="14" t="n"/>
      <c r="B443" s="7" t="n"/>
      <c r="C443" s="15" t="n"/>
      <c r="D443" s="15" t="n"/>
      <c r="E443" s="7" t="n"/>
      <c r="F443" s="12">
        <f>IF(OR(C443="",D443=""),"",ROUND(MOD(D443-C443,1)*24,2))</f>
        <v/>
      </c>
      <c r="G443" s="7" t="n"/>
      <c r="H443" s="17">
        <f>IF(OR(A443="",B443=""),"",IF(COUNTIFS('Lançamentos Diários'!$A$5:$A$504,A443,'Lançamentos Diários'!$B$5:$B$504,B443)&gt;0,"OK","FALTA LANÇAMENTO"))</f>
        <v/>
      </c>
    </row>
    <row r="444">
      <c r="A444" s="14" t="n"/>
      <c r="B444" s="7" t="n"/>
      <c r="C444" s="15" t="n"/>
      <c r="D444" s="15" t="n"/>
      <c r="E444" s="7" t="n"/>
      <c r="F444" s="12">
        <f>IF(OR(C444="",D444=""),"",ROUND(MOD(D444-C444,1)*24,2))</f>
        <v/>
      </c>
      <c r="G444" s="7" t="n"/>
      <c r="H444" s="17">
        <f>IF(OR(A444="",B444=""),"",IF(COUNTIFS('Lançamentos Diários'!$A$5:$A$504,A444,'Lançamentos Diários'!$B$5:$B$504,B444)&gt;0,"OK","FALTA LANÇAMENTO"))</f>
        <v/>
      </c>
    </row>
    <row r="445">
      <c r="A445" s="14" t="n"/>
      <c r="B445" s="7" t="n"/>
      <c r="C445" s="15" t="n"/>
      <c r="D445" s="15" t="n"/>
      <c r="E445" s="7" t="n"/>
      <c r="F445" s="12">
        <f>IF(OR(C445="",D445=""),"",ROUND(MOD(D445-C445,1)*24,2))</f>
        <v/>
      </c>
      <c r="G445" s="7" t="n"/>
      <c r="H445" s="17">
        <f>IF(OR(A445="",B445=""),"",IF(COUNTIFS('Lançamentos Diários'!$A$5:$A$504,A445,'Lançamentos Diários'!$B$5:$B$504,B445)&gt;0,"OK","FALTA LANÇAMENTO"))</f>
        <v/>
      </c>
    </row>
    <row r="446">
      <c r="A446" s="14" t="n"/>
      <c r="B446" s="7" t="n"/>
      <c r="C446" s="15" t="n"/>
      <c r="D446" s="15" t="n"/>
      <c r="E446" s="7" t="n"/>
      <c r="F446" s="12">
        <f>IF(OR(C446="",D446=""),"",ROUND(MOD(D446-C446,1)*24,2))</f>
        <v/>
      </c>
      <c r="G446" s="7" t="n"/>
      <c r="H446" s="17">
        <f>IF(OR(A446="",B446=""),"",IF(COUNTIFS('Lançamentos Diários'!$A$5:$A$504,A446,'Lançamentos Diários'!$B$5:$B$504,B446)&gt;0,"OK","FALTA LANÇAMENTO"))</f>
        <v/>
      </c>
    </row>
    <row r="447">
      <c r="A447" s="14" t="n"/>
      <c r="B447" s="7" t="n"/>
      <c r="C447" s="15" t="n"/>
      <c r="D447" s="15" t="n"/>
      <c r="E447" s="7" t="n"/>
      <c r="F447" s="12">
        <f>IF(OR(C447="",D447=""),"",ROUND(MOD(D447-C447,1)*24,2))</f>
        <v/>
      </c>
      <c r="G447" s="7" t="n"/>
      <c r="H447" s="17">
        <f>IF(OR(A447="",B447=""),"",IF(COUNTIFS('Lançamentos Diários'!$A$5:$A$504,A447,'Lançamentos Diários'!$B$5:$B$504,B447)&gt;0,"OK","FALTA LANÇAMENTO"))</f>
        <v/>
      </c>
    </row>
    <row r="448">
      <c r="A448" s="14" t="n"/>
      <c r="B448" s="7" t="n"/>
      <c r="C448" s="15" t="n"/>
      <c r="D448" s="15" t="n"/>
      <c r="E448" s="7" t="n"/>
      <c r="F448" s="12">
        <f>IF(OR(C448="",D448=""),"",ROUND(MOD(D448-C448,1)*24,2))</f>
        <v/>
      </c>
      <c r="G448" s="7" t="n"/>
      <c r="H448" s="17">
        <f>IF(OR(A448="",B448=""),"",IF(COUNTIFS('Lançamentos Diários'!$A$5:$A$504,A448,'Lançamentos Diários'!$B$5:$B$504,B448)&gt;0,"OK","FALTA LANÇAMENTO"))</f>
        <v/>
      </c>
    </row>
    <row r="449">
      <c r="A449" s="14" t="n"/>
      <c r="B449" s="7" t="n"/>
      <c r="C449" s="15" t="n"/>
      <c r="D449" s="15" t="n"/>
      <c r="E449" s="7" t="n"/>
      <c r="F449" s="12">
        <f>IF(OR(C449="",D449=""),"",ROUND(MOD(D449-C449,1)*24,2))</f>
        <v/>
      </c>
      <c r="G449" s="7" t="n"/>
      <c r="H449" s="17">
        <f>IF(OR(A449="",B449=""),"",IF(COUNTIFS('Lançamentos Diários'!$A$5:$A$504,A449,'Lançamentos Diários'!$B$5:$B$504,B449)&gt;0,"OK","FALTA LANÇAMENTO"))</f>
        <v/>
      </c>
    </row>
    <row r="450">
      <c r="A450" s="14" t="n"/>
      <c r="B450" s="7" t="n"/>
      <c r="C450" s="15" t="n"/>
      <c r="D450" s="15" t="n"/>
      <c r="E450" s="7" t="n"/>
      <c r="F450" s="12">
        <f>IF(OR(C450="",D450=""),"",ROUND(MOD(D450-C450,1)*24,2))</f>
        <v/>
      </c>
      <c r="G450" s="7" t="n"/>
      <c r="H450" s="17">
        <f>IF(OR(A450="",B450=""),"",IF(COUNTIFS('Lançamentos Diários'!$A$5:$A$504,A450,'Lançamentos Diários'!$B$5:$B$504,B450)&gt;0,"OK","FALTA LANÇAMENTO"))</f>
        <v/>
      </c>
    </row>
    <row r="451">
      <c r="A451" s="14" t="n"/>
      <c r="B451" s="7" t="n"/>
      <c r="C451" s="15" t="n"/>
      <c r="D451" s="15" t="n"/>
      <c r="E451" s="7" t="n"/>
      <c r="F451" s="12">
        <f>IF(OR(C451="",D451=""),"",ROUND(MOD(D451-C451,1)*24,2))</f>
        <v/>
      </c>
      <c r="G451" s="7" t="n"/>
      <c r="H451" s="17">
        <f>IF(OR(A451="",B451=""),"",IF(COUNTIFS('Lançamentos Diários'!$A$5:$A$504,A451,'Lançamentos Diários'!$B$5:$B$504,B451)&gt;0,"OK","FALTA LANÇAMENTO"))</f>
        <v/>
      </c>
    </row>
    <row r="452">
      <c r="A452" s="14" t="n"/>
      <c r="B452" s="7" t="n"/>
      <c r="C452" s="15" t="n"/>
      <c r="D452" s="15" t="n"/>
      <c r="E452" s="7" t="n"/>
      <c r="F452" s="12">
        <f>IF(OR(C452="",D452=""),"",ROUND(MOD(D452-C452,1)*24,2))</f>
        <v/>
      </c>
      <c r="G452" s="7" t="n"/>
      <c r="H452" s="17">
        <f>IF(OR(A452="",B452=""),"",IF(COUNTIFS('Lançamentos Diários'!$A$5:$A$504,A452,'Lançamentos Diários'!$B$5:$B$504,B452)&gt;0,"OK","FALTA LANÇAMENTO"))</f>
        <v/>
      </c>
    </row>
    <row r="453">
      <c r="A453" s="14" t="n"/>
      <c r="B453" s="7" t="n"/>
      <c r="C453" s="15" t="n"/>
      <c r="D453" s="15" t="n"/>
      <c r="E453" s="7" t="n"/>
      <c r="F453" s="12">
        <f>IF(OR(C453="",D453=""),"",ROUND(MOD(D453-C453,1)*24,2))</f>
        <v/>
      </c>
      <c r="G453" s="7" t="n"/>
      <c r="H453" s="17">
        <f>IF(OR(A453="",B453=""),"",IF(COUNTIFS('Lançamentos Diários'!$A$5:$A$504,A453,'Lançamentos Diários'!$B$5:$B$504,B453)&gt;0,"OK","FALTA LANÇAMENTO"))</f>
        <v/>
      </c>
    </row>
    <row r="454">
      <c r="A454" s="14" t="n"/>
      <c r="B454" s="7" t="n"/>
      <c r="C454" s="15" t="n"/>
      <c r="D454" s="15" t="n"/>
      <c r="E454" s="7" t="n"/>
      <c r="F454" s="12">
        <f>IF(OR(C454="",D454=""),"",ROUND(MOD(D454-C454,1)*24,2))</f>
        <v/>
      </c>
      <c r="G454" s="7" t="n"/>
      <c r="H454" s="17">
        <f>IF(OR(A454="",B454=""),"",IF(COUNTIFS('Lançamentos Diários'!$A$5:$A$504,A454,'Lançamentos Diários'!$B$5:$B$504,B454)&gt;0,"OK","FALTA LANÇAMENTO"))</f>
        <v/>
      </c>
    </row>
    <row r="455">
      <c r="A455" s="14" t="n"/>
      <c r="B455" s="7" t="n"/>
      <c r="C455" s="15" t="n"/>
      <c r="D455" s="15" t="n"/>
      <c r="E455" s="7" t="n"/>
      <c r="F455" s="12">
        <f>IF(OR(C455="",D455=""),"",ROUND(MOD(D455-C455,1)*24,2))</f>
        <v/>
      </c>
      <c r="G455" s="7" t="n"/>
      <c r="H455" s="17">
        <f>IF(OR(A455="",B455=""),"",IF(COUNTIFS('Lançamentos Diários'!$A$5:$A$504,A455,'Lançamentos Diários'!$B$5:$B$504,B455)&gt;0,"OK","FALTA LANÇAMENTO"))</f>
        <v/>
      </c>
    </row>
    <row r="456">
      <c r="A456" s="14" t="n"/>
      <c r="B456" s="7" t="n"/>
      <c r="C456" s="15" t="n"/>
      <c r="D456" s="15" t="n"/>
      <c r="E456" s="7" t="n"/>
      <c r="F456" s="12">
        <f>IF(OR(C456="",D456=""),"",ROUND(MOD(D456-C456,1)*24,2))</f>
        <v/>
      </c>
      <c r="G456" s="7" t="n"/>
      <c r="H456" s="17">
        <f>IF(OR(A456="",B456=""),"",IF(COUNTIFS('Lançamentos Diários'!$A$5:$A$504,A456,'Lançamentos Diários'!$B$5:$B$504,B456)&gt;0,"OK","FALTA LANÇAMENTO"))</f>
        <v/>
      </c>
    </row>
    <row r="457">
      <c r="A457" s="14" t="n"/>
      <c r="B457" s="7" t="n"/>
      <c r="C457" s="15" t="n"/>
      <c r="D457" s="15" t="n"/>
      <c r="E457" s="7" t="n"/>
      <c r="F457" s="12">
        <f>IF(OR(C457="",D457=""),"",ROUND(MOD(D457-C457,1)*24,2))</f>
        <v/>
      </c>
      <c r="G457" s="7" t="n"/>
      <c r="H457" s="17">
        <f>IF(OR(A457="",B457=""),"",IF(COUNTIFS('Lançamentos Diários'!$A$5:$A$504,A457,'Lançamentos Diários'!$B$5:$B$504,B457)&gt;0,"OK","FALTA LANÇAMENTO"))</f>
        <v/>
      </c>
    </row>
    <row r="458">
      <c r="A458" s="14" t="n"/>
      <c r="B458" s="7" t="n"/>
      <c r="C458" s="15" t="n"/>
      <c r="D458" s="15" t="n"/>
      <c r="E458" s="7" t="n"/>
      <c r="F458" s="12">
        <f>IF(OR(C458="",D458=""),"",ROUND(MOD(D458-C458,1)*24,2))</f>
        <v/>
      </c>
      <c r="G458" s="7" t="n"/>
      <c r="H458" s="17">
        <f>IF(OR(A458="",B458=""),"",IF(COUNTIFS('Lançamentos Diários'!$A$5:$A$504,A458,'Lançamentos Diários'!$B$5:$B$504,B458)&gt;0,"OK","FALTA LANÇAMENTO"))</f>
        <v/>
      </c>
    </row>
    <row r="459">
      <c r="A459" s="14" t="n"/>
      <c r="B459" s="7" t="n"/>
      <c r="C459" s="15" t="n"/>
      <c r="D459" s="15" t="n"/>
      <c r="E459" s="7" t="n"/>
      <c r="F459" s="12">
        <f>IF(OR(C459="",D459=""),"",ROUND(MOD(D459-C459,1)*24,2))</f>
        <v/>
      </c>
      <c r="G459" s="7" t="n"/>
      <c r="H459" s="17">
        <f>IF(OR(A459="",B459=""),"",IF(COUNTIFS('Lançamentos Diários'!$A$5:$A$504,A459,'Lançamentos Diários'!$B$5:$B$504,B459)&gt;0,"OK","FALTA LANÇAMENTO"))</f>
        <v/>
      </c>
    </row>
    <row r="460">
      <c r="A460" s="14" t="n"/>
      <c r="B460" s="7" t="n"/>
      <c r="C460" s="15" t="n"/>
      <c r="D460" s="15" t="n"/>
      <c r="E460" s="7" t="n"/>
      <c r="F460" s="12">
        <f>IF(OR(C460="",D460=""),"",ROUND(MOD(D460-C460,1)*24,2))</f>
        <v/>
      </c>
      <c r="G460" s="7" t="n"/>
      <c r="H460" s="17">
        <f>IF(OR(A460="",B460=""),"",IF(COUNTIFS('Lançamentos Diários'!$A$5:$A$504,A460,'Lançamentos Diários'!$B$5:$B$504,B460)&gt;0,"OK","FALTA LANÇAMENTO"))</f>
        <v/>
      </c>
    </row>
    <row r="461">
      <c r="A461" s="14" t="n"/>
      <c r="B461" s="7" t="n"/>
      <c r="C461" s="15" t="n"/>
      <c r="D461" s="15" t="n"/>
      <c r="E461" s="7" t="n"/>
      <c r="F461" s="12">
        <f>IF(OR(C461="",D461=""),"",ROUND(MOD(D461-C461,1)*24,2))</f>
        <v/>
      </c>
      <c r="G461" s="7" t="n"/>
      <c r="H461" s="17">
        <f>IF(OR(A461="",B461=""),"",IF(COUNTIFS('Lançamentos Diários'!$A$5:$A$504,A461,'Lançamentos Diários'!$B$5:$B$504,B461)&gt;0,"OK","FALTA LANÇAMENTO"))</f>
        <v/>
      </c>
    </row>
    <row r="462">
      <c r="A462" s="14" t="n"/>
      <c r="B462" s="7" t="n"/>
      <c r="C462" s="15" t="n"/>
      <c r="D462" s="15" t="n"/>
      <c r="E462" s="7" t="n"/>
      <c r="F462" s="12">
        <f>IF(OR(C462="",D462=""),"",ROUND(MOD(D462-C462,1)*24,2))</f>
        <v/>
      </c>
      <c r="G462" s="7" t="n"/>
      <c r="H462" s="17">
        <f>IF(OR(A462="",B462=""),"",IF(COUNTIFS('Lançamentos Diários'!$A$5:$A$504,A462,'Lançamentos Diários'!$B$5:$B$504,B462)&gt;0,"OK","FALTA LANÇAMENTO"))</f>
        <v/>
      </c>
    </row>
    <row r="463">
      <c r="A463" s="14" t="n"/>
      <c r="B463" s="7" t="n"/>
      <c r="C463" s="15" t="n"/>
      <c r="D463" s="15" t="n"/>
      <c r="E463" s="7" t="n"/>
      <c r="F463" s="12">
        <f>IF(OR(C463="",D463=""),"",ROUND(MOD(D463-C463,1)*24,2))</f>
        <v/>
      </c>
      <c r="G463" s="7" t="n"/>
      <c r="H463" s="17">
        <f>IF(OR(A463="",B463=""),"",IF(COUNTIFS('Lançamentos Diários'!$A$5:$A$504,A463,'Lançamentos Diários'!$B$5:$B$504,B463)&gt;0,"OK","FALTA LANÇAMENTO"))</f>
        <v/>
      </c>
    </row>
    <row r="464">
      <c r="A464" s="14" t="n"/>
      <c r="B464" s="7" t="n"/>
      <c r="C464" s="15" t="n"/>
      <c r="D464" s="15" t="n"/>
      <c r="E464" s="7" t="n"/>
      <c r="F464" s="12">
        <f>IF(OR(C464="",D464=""),"",ROUND(MOD(D464-C464,1)*24,2))</f>
        <v/>
      </c>
      <c r="G464" s="7" t="n"/>
      <c r="H464" s="17">
        <f>IF(OR(A464="",B464=""),"",IF(COUNTIFS('Lançamentos Diários'!$A$5:$A$504,A464,'Lançamentos Diários'!$B$5:$B$504,B464)&gt;0,"OK","FALTA LANÇAMENTO"))</f>
        <v/>
      </c>
    </row>
    <row r="465">
      <c r="A465" s="14" t="n"/>
      <c r="B465" s="7" t="n"/>
      <c r="C465" s="15" t="n"/>
      <c r="D465" s="15" t="n"/>
      <c r="E465" s="7" t="n"/>
      <c r="F465" s="12">
        <f>IF(OR(C465="",D465=""),"",ROUND(MOD(D465-C465,1)*24,2))</f>
        <v/>
      </c>
      <c r="G465" s="7" t="n"/>
      <c r="H465" s="17">
        <f>IF(OR(A465="",B465=""),"",IF(COUNTIFS('Lançamentos Diários'!$A$5:$A$504,A465,'Lançamentos Diários'!$B$5:$B$504,B465)&gt;0,"OK","FALTA LANÇAMENTO"))</f>
        <v/>
      </c>
    </row>
    <row r="466">
      <c r="A466" s="14" t="n"/>
      <c r="B466" s="7" t="n"/>
      <c r="C466" s="15" t="n"/>
      <c r="D466" s="15" t="n"/>
      <c r="E466" s="7" t="n"/>
      <c r="F466" s="12">
        <f>IF(OR(C466="",D466=""),"",ROUND(MOD(D466-C466,1)*24,2))</f>
        <v/>
      </c>
      <c r="G466" s="7" t="n"/>
      <c r="H466" s="17">
        <f>IF(OR(A466="",B466=""),"",IF(COUNTIFS('Lançamentos Diários'!$A$5:$A$504,A466,'Lançamentos Diários'!$B$5:$B$504,B466)&gt;0,"OK","FALTA LANÇAMENTO"))</f>
        <v/>
      </c>
    </row>
    <row r="467">
      <c r="A467" s="14" t="n"/>
      <c r="B467" s="7" t="n"/>
      <c r="C467" s="15" t="n"/>
      <c r="D467" s="15" t="n"/>
      <c r="E467" s="7" t="n"/>
      <c r="F467" s="12">
        <f>IF(OR(C467="",D467=""),"",ROUND(MOD(D467-C467,1)*24,2))</f>
        <v/>
      </c>
      <c r="G467" s="7" t="n"/>
      <c r="H467" s="17">
        <f>IF(OR(A467="",B467=""),"",IF(COUNTIFS('Lançamentos Diários'!$A$5:$A$504,A467,'Lançamentos Diários'!$B$5:$B$504,B467)&gt;0,"OK","FALTA LANÇAMENTO"))</f>
        <v/>
      </c>
    </row>
    <row r="468">
      <c r="A468" s="14" t="n"/>
      <c r="B468" s="7" t="n"/>
      <c r="C468" s="15" t="n"/>
      <c r="D468" s="15" t="n"/>
      <c r="E468" s="7" t="n"/>
      <c r="F468" s="12">
        <f>IF(OR(C468="",D468=""),"",ROUND(MOD(D468-C468,1)*24,2))</f>
        <v/>
      </c>
      <c r="G468" s="7" t="n"/>
      <c r="H468" s="17">
        <f>IF(OR(A468="",B468=""),"",IF(COUNTIFS('Lançamentos Diários'!$A$5:$A$504,A468,'Lançamentos Diários'!$B$5:$B$504,B468)&gt;0,"OK","FALTA LANÇAMENTO"))</f>
        <v/>
      </c>
    </row>
    <row r="469">
      <c r="A469" s="14" t="n"/>
      <c r="B469" s="7" t="n"/>
      <c r="C469" s="15" t="n"/>
      <c r="D469" s="15" t="n"/>
      <c r="E469" s="7" t="n"/>
      <c r="F469" s="12">
        <f>IF(OR(C469="",D469=""),"",ROUND(MOD(D469-C469,1)*24,2))</f>
        <v/>
      </c>
      <c r="G469" s="7" t="n"/>
      <c r="H469" s="17">
        <f>IF(OR(A469="",B469=""),"",IF(COUNTIFS('Lançamentos Diários'!$A$5:$A$504,A469,'Lançamentos Diários'!$B$5:$B$504,B469)&gt;0,"OK","FALTA LANÇAMENTO"))</f>
        <v/>
      </c>
    </row>
    <row r="470">
      <c r="A470" s="14" t="n"/>
      <c r="B470" s="7" t="n"/>
      <c r="C470" s="15" t="n"/>
      <c r="D470" s="15" t="n"/>
      <c r="E470" s="7" t="n"/>
      <c r="F470" s="12">
        <f>IF(OR(C470="",D470=""),"",ROUND(MOD(D470-C470,1)*24,2))</f>
        <v/>
      </c>
      <c r="G470" s="7" t="n"/>
      <c r="H470" s="17">
        <f>IF(OR(A470="",B470=""),"",IF(COUNTIFS('Lançamentos Diários'!$A$5:$A$504,A470,'Lançamentos Diários'!$B$5:$B$504,B470)&gt;0,"OK","FALTA LANÇAMENTO"))</f>
        <v/>
      </c>
    </row>
    <row r="471">
      <c r="A471" s="14" t="n"/>
      <c r="B471" s="7" t="n"/>
      <c r="C471" s="15" t="n"/>
      <c r="D471" s="15" t="n"/>
      <c r="E471" s="7" t="n"/>
      <c r="F471" s="12">
        <f>IF(OR(C471="",D471=""),"",ROUND(MOD(D471-C471,1)*24,2))</f>
        <v/>
      </c>
      <c r="G471" s="7" t="n"/>
      <c r="H471" s="17">
        <f>IF(OR(A471="",B471=""),"",IF(COUNTIFS('Lançamentos Diários'!$A$5:$A$504,A471,'Lançamentos Diários'!$B$5:$B$504,B471)&gt;0,"OK","FALTA LANÇAMENTO"))</f>
        <v/>
      </c>
    </row>
    <row r="472">
      <c r="A472" s="14" t="n"/>
      <c r="B472" s="7" t="n"/>
      <c r="C472" s="15" t="n"/>
      <c r="D472" s="15" t="n"/>
      <c r="E472" s="7" t="n"/>
      <c r="F472" s="12">
        <f>IF(OR(C472="",D472=""),"",ROUND(MOD(D472-C472,1)*24,2))</f>
        <v/>
      </c>
      <c r="G472" s="7" t="n"/>
      <c r="H472" s="17">
        <f>IF(OR(A472="",B472=""),"",IF(COUNTIFS('Lançamentos Diários'!$A$5:$A$504,A472,'Lançamentos Diários'!$B$5:$B$504,B472)&gt;0,"OK","FALTA LANÇAMENTO"))</f>
        <v/>
      </c>
    </row>
    <row r="473">
      <c r="A473" s="14" t="n"/>
      <c r="B473" s="7" t="n"/>
      <c r="C473" s="15" t="n"/>
      <c r="D473" s="15" t="n"/>
      <c r="E473" s="7" t="n"/>
      <c r="F473" s="12">
        <f>IF(OR(C473="",D473=""),"",ROUND(MOD(D473-C473,1)*24,2))</f>
        <v/>
      </c>
      <c r="G473" s="7" t="n"/>
      <c r="H473" s="17">
        <f>IF(OR(A473="",B473=""),"",IF(COUNTIFS('Lançamentos Diários'!$A$5:$A$504,A473,'Lançamentos Diários'!$B$5:$B$504,B473)&gt;0,"OK","FALTA LANÇAMENTO"))</f>
        <v/>
      </c>
    </row>
    <row r="474">
      <c r="A474" s="14" t="n"/>
      <c r="B474" s="7" t="n"/>
      <c r="C474" s="15" t="n"/>
      <c r="D474" s="15" t="n"/>
      <c r="E474" s="7" t="n"/>
      <c r="F474" s="12">
        <f>IF(OR(C474="",D474=""),"",ROUND(MOD(D474-C474,1)*24,2))</f>
        <v/>
      </c>
      <c r="G474" s="7" t="n"/>
      <c r="H474" s="17">
        <f>IF(OR(A474="",B474=""),"",IF(COUNTIFS('Lançamentos Diários'!$A$5:$A$504,A474,'Lançamentos Diários'!$B$5:$B$504,B474)&gt;0,"OK","FALTA LANÇAMENTO"))</f>
        <v/>
      </c>
    </row>
    <row r="475">
      <c r="A475" s="14" t="n"/>
      <c r="B475" s="7" t="n"/>
      <c r="C475" s="15" t="n"/>
      <c r="D475" s="15" t="n"/>
      <c r="E475" s="7" t="n"/>
      <c r="F475" s="12">
        <f>IF(OR(C475="",D475=""),"",ROUND(MOD(D475-C475,1)*24,2))</f>
        <v/>
      </c>
      <c r="G475" s="7" t="n"/>
      <c r="H475" s="17">
        <f>IF(OR(A475="",B475=""),"",IF(COUNTIFS('Lançamentos Diários'!$A$5:$A$504,A475,'Lançamentos Diários'!$B$5:$B$504,B475)&gt;0,"OK","FALTA LANÇAMENTO"))</f>
        <v/>
      </c>
    </row>
    <row r="476">
      <c r="A476" s="14" t="n"/>
      <c r="B476" s="7" t="n"/>
      <c r="C476" s="15" t="n"/>
      <c r="D476" s="15" t="n"/>
      <c r="E476" s="7" t="n"/>
      <c r="F476" s="12">
        <f>IF(OR(C476="",D476=""),"",ROUND(MOD(D476-C476,1)*24,2))</f>
        <v/>
      </c>
      <c r="G476" s="7" t="n"/>
      <c r="H476" s="17">
        <f>IF(OR(A476="",B476=""),"",IF(COUNTIFS('Lançamentos Diários'!$A$5:$A$504,A476,'Lançamentos Diários'!$B$5:$B$504,B476)&gt;0,"OK","FALTA LANÇAMENTO"))</f>
        <v/>
      </c>
    </row>
    <row r="477">
      <c r="A477" s="14" t="n"/>
      <c r="B477" s="7" t="n"/>
      <c r="C477" s="15" t="n"/>
      <c r="D477" s="15" t="n"/>
      <c r="E477" s="7" t="n"/>
      <c r="F477" s="12">
        <f>IF(OR(C477="",D477=""),"",ROUND(MOD(D477-C477,1)*24,2))</f>
        <v/>
      </c>
      <c r="G477" s="7" t="n"/>
      <c r="H477" s="17">
        <f>IF(OR(A477="",B477=""),"",IF(COUNTIFS('Lançamentos Diários'!$A$5:$A$504,A477,'Lançamentos Diários'!$B$5:$B$504,B477)&gt;0,"OK","FALTA LANÇAMENTO"))</f>
        <v/>
      </c>
    </row>
    <row r="478">
      <c r="A478" s="14" t="n"/>
      <c r="B478" s="7" t="n"/>
      <c r="C478" s="15" t="n"/>
      <c r="D478" s="15" t="n"/>
      <c r="E478" s="7" t="n"/>
      <c r="F478" s="12">
        <f>IF(OR(C478="",D478=""),"",ROUND(MOD(D478-C478,1)*24,2))</f>
        <v/>
      </c>
      <c r="G478" s="7" t="n"/>
      <c r="H478" s="17">
        <f>IF(OR(A478="",B478=""),"",IF(COUNTIFS('Lançamentos Diários'!$A$5:$A$504,A478,'Lançamentos Diários'!$B$5:$B$504,B478)&gt;0,"OK","FALTA LANÇAMENTO"))</f>
        <v/>
      </c>
    </row>
    <row r="479">
      <c r="A479" s="14" t="n"/>
      <c r="B479" s="7" t="n"/>
      <c r="C479" s="15" t="n"/>
      <c r="D479" s="15" t="n"/>
      <c r="E479" s="7" t="n"/>
      <c r="F479" s="12">
        <f>IF(OR(C479="",D479=""),"",ROUND(MOD(D479-C479,1)*24,2))</f>
        <v/>
      </c>
      <c r="G479" s="7" t="n"/>
      <c r="H479" s="17">
        <f>IF(OR(A479="",B479=""),"",IF(COUNTIFS('Lançamentos Diários'!$A$5:$A$504,A479,'Lançamentos Diários'!$B$5:$B$504,B479)&gt;0,"OK","FALTA LANÇAMENTO"))</f>
        <v/>
      </c>
    </row>
    <row r="480">
      <c r="A480" s="14" t="n"/>
      <c r="B480" s="7" t="n"/>
      <c r="C480" s="15" t="n"/>
      <c r="D480" s="15" t="n"/>
      <c r="E480" s="7" t="n"/>
      <c r="F480" s="12">
        <f>IF(OR(C480="",D480=""),"",ROUND(MOD(D480-C480,1)*24,2))</f>
        <v/>
      </c>
      <c r="G480" s="7" t="n"/>
      <c r="H480" s="17">
        <f>IF(OR(A480="",B480=""),"",IF(COUNTIFS('Lançamentos Diários'!$A$5:$A$504,A480,'Lançamentos Diários'!$B$5:$B$504,B480)&gt;0,"OK","FALTA LANÇAMENTO"))</f>
        <v/>
      </c>
    </row>
    <row r="481">
      <c r="A481" s="14" t="n"/>
      <c r="B481" s="7" t="n"/>
      <c r="C481" s="15" t="n"/>
      <c r="D481" s="15" t="n"/>
      <c r="E481" s="7" t="n"/>
      <c r="F481" s="12">
        <f>IF(OR(C481="",D481=""),"",ROUND(MOD(D481-C481,1)*24,2))</f>
        <v/>
      </c>
      <c r="G481" s="7" t="n"/>
      <c r="H481" s="17">
        <f>IF(OR(A481="",B481=""),"",IF(COUNTIFS('Lançamentos Diários'!$A$5:$A$504,A481,'Lançamentos Diários'!$B$5:$B$504,B481)&gt;0,"OK","FALTA LANÇAMENTO"))</f>
        <v/>
      </c>
    </row>
    <row r="482">
      <c r="A482" s="14" t="n"/>
      <c r="B482" s="7" t="n"/>
      <c r="C482" s="15" t="n"/>
      <c r="D482" s="15" t="n"/>
      <c r="E482" s="7" t="n"/>
      <c r="F482" s="12">
        <f>IF(OR(C482="",D482=""),"",ROUND(MOD(D482-C482,1)*24,2))</f>
        <v/>
      </c>
      <c r="G482" s="7" t="n"/>
      <c r="H482" s="17">
        <f>IF(OR(A482="",B482=""),"",IF(COUNTIFS('Lançamentos Diários'!$A$5:$A$504,A482,'Lançamentos Diários'!$B$5:$B$504,B482)&gt;0,"OK","FALTA LANÇAMENTO"))</f>
        <v/>
      </c>
    </row>
    <row r="483">
      <c r="A483" s="14" t="n"/>
      <c r="B483" s="7" t="n"/>
      <c r="C483" s="15" t="n"/>
      <c r="D483" s="15" t="n"/>
      <c r="E483" s="7" t="n"/>
      <c r="F483" s="12">
        <f>IF(OR(C483="",D483=""),"",ROUND(MOD(D483-C483,1)*24,2))</f>
        <v/>
      </c>
      <c r="G483" s="7" t="n"/>
      <c r="H483" s="17">
        <f>IF(OR(A483="",B483=""),"",IF(COUNTIFS('Lançamentos Diários'!$A$5:$A$504,A483,'Lançamentos Diários'!$B$5:$B$504,B483)&gt;0,"OK","FALTA LANÇAMENTO"))</f>
        <v/>
      </c>
    </row>
    <row r="484">
      <c r="A484" s="14" t="n"/>
      <c r="B484" s="7" t="n"/>
      <c r="C484" s="15" t="n"/>
      <c r="D484" s="15" t="n"/>
      <c r="E484" s="7" t="n"/>
      <c r="F484" s="12">
        <f>IF(OR(C484="",D484=""),"",ROUND(MOD(D484-C484,1)*24,2))</f>
        <v/>
      </c>
      <c r="G484" s="7" t="n"/>
      <c r="H484" s="17">
        <f>IF(OR(A484="",B484=""),"",IF(COUNTIFS('Lançamentos Diários'!$A$5:$A$504,A484,'Lançamentos Diários'!$B$5:$B$504,B484)&gt;0,"OK","FALTA LANÇAMENTO"))</f>
        <v/>
      </c>
    </row>
    <row r="485">
      <c r="A485" s="14" t="n"/>
      <c r="B485" s="7" t="n"/>
      <c r="C485" s="15" t="n"/>
      <c r="D485" s="15" t="n"/>
      <c r="E485" s="7" t="n"/>
      <c r="F485" s="12">
        <f>IF(OR(C485="",D485=""),"",ROUND(MOD(D485-C485,1)*24,2))</f>
        <v/>
      </c>
      <c r="G485" s="7" t="n"/>
      <c r="H485" s="17">
        <f>IF(OR(A485="",B485=""),"",IF(COUNTIFS('Lançamentos Diários'!$A$5:$A$504,A485,'Lançamentos Diários'!$B$5:$B$504,B485)&gt;0,"OK","FALTA LANÇAMENTO"))</f>
        <v/>
      </c>
    </row>
    <row r="486">
      <c r="A486" s="14" t="n"/>
      <c r="B486" s="7" t="n"/>
      <c r="C486" s="15" t="n"/>
      <c r="D486" s="15" t="n"/>
      <c r="E486" s="7" t="n"/>
      <c r="F486" s="12">
        <f>IF(OR(C486="",D486=""),"",ROUND(MOD(D486-C486,1)*24,2))</f>
        <v/>
      </c>
      <c r="G486" s="7" t="n"/>
      <c r="H486" s="17">
        <f>IF(OR(A486="",B486=""),"",IF(COUNTIFS('Lançamentos Diários'!$A$5:$A$504,A486,'Lançamentos Diários'!$B$5:$B$504,B486)&gt;0,"OK","FALTA LANÇAMENTO"))</f>
        <v/>
      </c>
    </row>
    <row r="487">
      <c r="A487" s="14" t="n"/>
      <c r="B487" s="7" t="n"/>
      <c r="C487" s="15" t="n"/>
      <c r="D487" s="15" t="n"/>
      <c r="E487" s="7" t="n"/>
      <c r="F487" s="12">
        <f>IF(OR(C487="",D487=""),"",ROUND(MOD(D487-C487,1)*24,2))</f>
        <v/>
      </c>
      <c r="G487" s="7" t="n"/>
      <c r="H487" s="17">
        <f>IF(OR(A487="",B487=""),"",IF(COUNTIFS('Lançamentos Diários'!$A$5:$A$504,A487,'Lançamentos Diários'!$B$5:$B$504,B487)&gt;0,"OK","FALTA LANÇAMENTO"))</f>
        <v/>
      </c>
    </row>
    <row r="488">
      <c r="A488" s="14" t="n"/>
      <c r="B488" s="7" t="n"/>
      <c r="C488" s="15" t="n"/>
      <c r="D488" s="15" t="n"/>
      <c r="E488" s="7" t="n"/>
      <c r="F488" s="12">
        <f>IF(OR(C488="",D488=""),"",ROUND(MOD(D488-C488,1)*24,2))</f>
        <v/>
      </c>
      <c r="G488" s="7" t="n"/>
      <c r="H488" s="17">
        <f>IF(OR(A488="",B488=""),"",IF(COUNTIFS('Lançamentos Diários'!$A$5:$A$504,A488,'Lançamentos Diários'!$B$5:$B$504,B488)&gt;0,"OK","FALTA LANÇAMENTO"))</f>
        <v/>
      </c>
    </row>
    <row r="489">
      <c r="A489" s="14" t="n"/>
      <c r="B489" s="7" t="n"/>
      <c r="C489" s="15" t="n"/>
      <c r="D489" s="15" t="n"/>
      <c r="E489" s="7" t="n"/>
      <c r="F489" s="12">
        <f>IF(OR(C489="",D489=""),"",ROUND(MOD(D489-C489,1)*24,2))</f>
        <v/>
      </c>
      <c r="G489" s="7" t="n"/>
      <c r="H489" s="17">
        <f>IF(OR(A489="",B489=""),"",IF(COUNTIFS('Lançamentos Diários'!$A$5:$A$504,A489,'Lançamentos Diários'!$B$5:$B$504,B489)&gt;0,"OK","FALTA LANÇAMENTO"))</f>
        <v/>
      </c>
    </row>
    <row r="490">
      <c r="A490" s="14" t="n"/>
      <c r="B490" s="7" t="n"/>
      <c r="C490" s="15" t="n"/>
      <c r="D490" s="15" t="n"/>
      <c r="E490" s="7" t="n"/>
      <c r="F490" s="12">
        <f>IF(OR(C490="",D490=""),"",ROUND(MOD(D490-C490,1)*24,2))</f>
        <v/>
      </c>
      <c r="G490" s="7" t="n"/>
      <c r="H490" s="17">
        <f>IF(OR(A490="",B490=""),"",IF(COUNTIFS('Lançamentos Diários'!$A$5:$A$504,A490,'Lançamentos Diários'!$B$5:$B$504,B490)&gt;0,"OK","FALTA LANÇAMENTO"))</f>
        <v/>
      </c>
    </row>
    <row r="491">
      <c r="A491" s="14" t="n"/>
      <c r="B491" s="7" t="n"/>
      <c r="C491" s="15" t="n"/>
      <c r="D491" s="15" t="n"/>
      <c r="E491" s="7" t="n"/>
      <c r="F491" s="12">
        <f>IF(OR(C491="",D491=""),"",ROUND(MOD(D491-C491,1)*24,2))</f>
        <v/>
      </c>
      <c r="G491" s="7" t="n"/>
      <c r="H491" s="17">
        <f>IF(OR(A491="",B491=""),"",IF(COUNTIFS('Lançamentos Diários'!$A$5:$A$504,A491,'Lançamentos Diários'!$B$5:$B$504,B491)&gt;0,"OK","FALTA LANÇAMENTO"))</f>
        <v/>
      </c>
    </row>
    <row r="492">
      <c r="A492" s="14" t="n"/>
      <c r="B492" s="7" t="n"/>
      <c r="C492" s="15" t="n"/>
      <c r="D492" s="15" t="n"/>
      <c r="E492" s="7" t="n"/>
      <c r="F492" s="12">
        <f>IF(OR(C492="",D492=""),"",ROUND(MOD(D492-C492,1)*24,2))</f>
        <v/>
      </c>
      <c r="G492" s="7" t="n"/>
      <c r="H492" s="17">
        <f>IF(OR(A492="",B492=""),"",IF(COUNTIFS('Lançamentos Diários'!$A$5:$A$504,A492,'Lançamentos Diários'!$B$5:$B$504,B492)&gt;0,"OK","FALTA LANÇAMENTO"))</f>
        <v/>
      </c>
    </row>
    <row r="493">
      <c r="A493" s="14" t="n"/>
      <c r="B493" s="7" t="n"/>
      <c r="C493" s="15" t="n"/>
      <c r="D493" s="15" t="n"/>
      <c r="E493" s="7" t="n"/>
      <c r="F493" s="12">
        <f>IF(OR(C493="",D493=""),"",ROUND(MOD(D493-C493,1)*24,2))</f>
        <v/>
      </c>
      <c r="G493" s="7" t="n"/>
      <c r="H493" s="17">
        <f>IF(OR(A493="",B493=""),"",IF(COUNTIFS('Lançamentos Diários'!$A$5:$A$504,A493,'Lançamentos Diários'!$B$5:$B$504,B493)&gt;0,"OK","FALTA LANÇAMENTO"))</f>
        <v/>
      </c>
    </row>
    <row r="494">
      <c r="A494" s="14" t="n"/>
      <c r="B494" s="7" t="n"/>
      <c r="C494" s="15" t="n"/>
      <c r="D494" s="15" t="n"/>
      <c r="E494" s="7" t="n"/>
      <c r="F494" s="12">
        <f>IF(OR(C494="",D494=""),"",ROUND(MOD(D494-C494,1)*24,2))</f>
        <v/>
      </c>
      <c r="G494" s="7" t="n"/>
      <c r="H494" s="17">
        <f>IF(OR(A494="",B494=""),"",IF(COUNTIFS('Lançamentos Diários'!$A$5:$A$504,A494,'Lançamentos Diários'!$B$5:$B$504,B494)&gt;0,"OK","FALTA LANÇAMENTO"))</f>
        <v/>
      </c>
    </row>
    <row r="495">
      <c r="A495" s="14" t="n"/>
      <c r="B495" s="7" t="n"/>
      <c r="C495" s="15" t="n"/>
      <c r="D495" s="15" t="n"/>
      <c r="E495" s="7" t="n"/>
      <c r="F495" s="12">
        <f>IF(OR(C495="",D495=""),"",ROUND(MOD(D495-C495,1)*24,2))</f>
        <v/>
      </c>
      <c r="G495" s="7" t="n"/>
      <c r="H495" s="17">
        <f>IF(OR(A495="",B495=""),"",IF(COUNTIFS('Lançamentos Diários'!$A$5:$A$504,A495,'Lançamentos Diários'!$B$5:$B$504,B495)&gt;0,"OK","FALTA LANÇAMENTO"))</f>
        <v/>
      </c>
    </row>
    <row r="496">
      <c r="A496" s="14" t="n"/>
      <c r="B496" s="7" t="n"/>
      <c r="C496" s="15" t="n"/>
      <c r="D496" s="15" t="n"/>
      <c r="E496" s="7" t="n"/>
      <c r="F496" s="12">
        <f>IF(OR(C496="",D496=""),"",ROUND(MOD(D496-C496,1)*24,2))</f>
        <v/>
      </c>
      <c r="G496" s="7" t="n"/>
      <c r="H496" s="17">
        <f>IF(OR(A496="",B496=""),"",IF(COUNTIFS('Lançamentos Diários'!$A$5:$A$504,A496,'Lançamentos Diários'!$B$5:$B$504,B496)&gt;0,"OK","FALTA LANÇAMENTO"))</f>
        <v/>
      </c>
    </row>
    <row r="497">
      <c r="A497" s="14" t="n"/>
      <c r="B497" s="7" t="n"/>
      <c r="C497" s="15" t="n"/>
      <c r="D497" s="15" t="n"/>
      <c r="E497" s="7" t="n"/>
      <c r="F497" s="12">
        <f>IF(OR(C497="",D497=""),"",ROUND(MOD(D497-C497,1)*24,2))</f>
        <v/>
      </c>
      <c r="G497" s="7" t="n"/>
      <c r="H497" s="17">
        <f>IF(OR(A497="",B497=""),"",IF(COUNTIFS('Lançamentos Diários'!$A$5:$A$504,A497,'Lançamentos Diários'!$B$5:$B$504,B497)&gt;0,"OK","FALTA LANÇAMENTO"))</f>
        <v/>
      </c>
    </row>
    <row r="498">
      <c r="A498" s="14" t="n"/>
      <c r="B498" s="7" t="n"/>
      <c r="C498" s="15" t="n"/>
      <c r="D498" s="15" t="n"/>
      <c r="E498" s="7" t="n"/>
      <c r="F498" s="12">
        <f>IF(OR(C498="",D498=""),"",ROUND(MOD(D498-C498,1)*24,2))</f>
        <v/>
      </c>
      <c r="G498" s="7" t="n"/>
      <c r="H498" s="17">
        <f>IF(OR(A498="",B498=""),"",IF(COUNTIFS('Lançamentos Diários'!$A$5:$A$504,A498,'Lançamentos Diários'!$B$5:$B$504,B498)&gt;0,"OK","FALTA LANÇAMENTO"))</f>
        <v/>
      </c>
    </row>
    <row r="499">
      <c r="A499" s="14" t="n"/>
      <c r="B499" s="7" t="n"/>
      <c r="C499" s="15" t="n"/>
      <c r="D499" s="15" t="n"/>
      <c r="E499" s="7" t="n"/>
      <c r="F499" s="12">
        <f>IF(OR(C499="",D499=""),"",ROUND(MOD(D499-C499,1)*24,2))</f>
        <v/>
      </c>
      <c r="G499" s="7" t="n"/>
      <c r="H499" s="17">
        <f>IF(OR(A499="",B499=""),"",IF(COUNTIFS('Lançamentos Diários'!$A$5:$A$504,A499,'Lançamentos Diários'!$B$5:$B$504,B499)&gt;0,"OK","FALTA LANÇAMENTO"))</f>
        <v/>
      </c>
    </row>
    <row r="500">
      <c r="A500" s="14" t="n"/>
      <c r="B500" s="7" t="n"/>
      <c r="C500" s="15" t="n"/>
      <c r="D500" s="15" t="n"/>
      <c r="E500" s="7" t="n"/>
      <c r="F500" s="12">
        <f>IF(OR(C500="",D500=""),"",ROUND(MOD(D500-C500,1)*24,2))</f>
        <v/>
      </c>
      <c r="G500" s="7" t="n"/>
      <c r="H500" s="17">
        <f>IF(OR(A500="",B500=""),"",IF(COUNTIFS('Lançamentos Diários'!$A$5:$A$504,A500,'Lançamentos Diários'!$B$5:$B$504,B500)&gt;0,"OK","FALTA LANÇAMENTO"))</f>
        <v/>
      </c>
    </row>
    <row r="501">
      <c r="A501" s="14" t="n"/>
      <c r="B501" s="7" t="n"/>
      <c r="C501" s="15" t="n"/>
      <c r="D501" s="15" t="n"/>
      <c r="E501" s="7" t="n"/>
      <c r="F501" s="12">
        <f>IF(OR(C501="",D501=""),"",ROUND(MOD(D501-C501,1)*24,2))</f>
        <v/>
      </c>
      <c r="G501" s="7" t="n"/>
      <c r="H501" s="17">
        <f>IF(OR(A501="",B501=""),"",IF(COUNTIFS('Lançamentos Diários'!$A$5:$A$504,A501,'Lançamentos Diários'!$B$5:$B$504,B501)&gt;0,"OK","FALTA LANÇAMENTO"))</f>
        <v/>
      </c>
    </row>
    <row r="502">
      <c r="A502" s="14" t="n"/>
      <c r="B502" s="7" t="n"/>
      <c r="C502" s="15" t="n"/>
      <c r="D502" s="15" t="n"/>
      <c r="E502" s="7" t="n"/>
      <c r="F502" s="12">
        <f>IF(OR(C502="",D502=""),"",ROUND(MOD(D502-C502,1)*24,2))</f>
        <v/>
      </c>
      <c r="G502" s="7" t="n"/>
      <c r="H502" s="17">
        <f>IF(OR(A502="",B502=""),"",IF(COUNTIFS('Lançamentos Diários'!$A$5:$A$504,A502,'Lançamentos Diários'!$B$5:$B$504,B502)&gt;0,"OK","FALTA LANÇAMENTO"))</f>
        <v/>
      </c>
    </row>
    <row r="503">
      <c r="A503" s="14" t="n"/>
      <c r="B503" s="7" t="n"/>
      <c r="C503" s="15" t="n"/>
      <c r="D503" s="15" t="n"/>
      <c r="E503" s="7" t="n"/>
      <c r="F503" s="12">
        <f>IF(OR(C503="",D503=""),"",ROUND(MOD(D503-C503,1)*24,2))</f>
        <v/>
      </c>
      <c r="G503" s="7" t="n"/>
      <c r="H503" s="17">
        <f>IF(OR(A503="",B503=""),"",IF(COUNTIFS('Lançamentos Diários'!$A$5:$A$504,A503,'Lançamentos Diários'!$B$5:$B$504,B503)&gt;0,"OK","FALTA LANÇAMENTO"))</f>
        <v/>
      </c>
    </row>
    <row r="504">
      <c r="A504" s="14" t="n"/>
      <c r="B504" s="7" t="n"/>
      <c r="C504" s="15" t="n"/>
      <c r="D504" s="15" t="n"/>
      <c r="E504" s="7" t="n"/>
      <c r="F504" s="12">
        <f>IF(OR(C504="",D504=""),"",ROUND(MOD(D504-C504,1)*24,2))</f>
        <v/>
      </c>
      <c r="G504" s="7" t="n"/>
      <c r="H504" s="17">
        <f>IF(OR(A504="",B504=""),"",IF(COUNTIFS('Lançamentos Diários'!$A$5:$A$504,A504,'Lançamentos Diários'!$B$5:$B$504,B504)&gt;0,"OK","FALTA LANÇAMENTO"))</f>
        <v/>
      </c>
    </row>
    <row r="505">
      <c r="A505" s="14" t="n"/>
      <c r="B505" s="7" t="n"/>
      <c r="C505" s="15" t="n"/>
      <c r="D505" s="15" t="n"/>
      <c r="E505" s="7" t="n"/>
      <c r="F505" s="12">
        <f>IF(OR(C505="",D505=""),"",ROUND(MOD(D505-C505,1)*24,2))</f>
        <v/>
      </c>
      <c r="G505" s="7" t="n"/>
      <c r="H505" s="17">
        <f>IF(OR(A505="",B505=""),"",IF(COUNTIFS('Lançamentos Diários'!$A$5:$A$504,A505,'Lançamentos Diários'!$B$5:$B$504,B505)&gt;0,"OK","FALTA LANÇAMENTO"))</f>
        <v/>
      </c>
    </row>
    <row r="506">
      <c r="A506" s="14" t="n"/>
      <c r="B506" s="7" t="n"/>
      <c r="C506" s="15" t="n"/>
      <c r="D506" s="15" t="n"/>
      <c r="E506" s="7" t="n"/>
      <c r="F506" s="12">
        <f>IF(OR(C506="",D506=""),"",ROUND(MOD(D506-C506,1)*24,2))</f>
        <v/>
      </c>
      <c r="G506" s="7" t="n"/>
      <c r="H506" s="17">
        <f>IF(OR(A506="",B506=""),"",IF(COUNTIFS('Lançamentos Diários'!$A$5:$A$504,A506,'Lançamentos Diários'!$B$5:$B$504,B506)&gt;0,"OK","FALTA LANÇAMENTO"))</f>
        <v/>
      </c>
    </row>
    <row r="507">
      <c r="A507" s="14" t="n"/>
      <c r="B507" s="7" t="n"/>
      <c r="C507" s="15" t="n"/>
      <c r="D507" s="15" t="n"/>
      <c r="E507" s="7" t="n"/>
      <c r="F507" s="12">
        <f>IF(OR(C507="",D507=""),"",ROUND(MOD(D507-C507,1)*24,2))</f>
        <v/>
      </c>
      <c r="G507" s="7" t="n"/>
      <c r="H507" s="17">
        <f>IF(OR(A507="",B507=""),"",IF(COUNTIFS('Lançamentos Diários'!$A$5:$A$504,A507,'Lançamentos Diários'!$B$5:$B$504,B507)&gt;0,"OK","FALTA LANÇAMENTO"))</f>
        <v/>
      </c>
    </row>
    <row r="508">
      <c r="A508" s="14" t="n"/>
      <c r="B508" s="7" t="n"/>
      <c r="C508" s="15" t="n"/>
      <c r="D508" s="15" t="n"/>
      <c r="E508" s="7" t="n"/>
      <c r="F508" s="12">
        <f>IF(OR(C508="",D508=""),"",ROUND(MOD(D508-C508,1)*24,2))</f>
        <v/>
      </c>
      <c r="G508" s="7" t="n"/>
      <c r="H508" s="17">
        <f>IF(OR(A508="",B508=""),"",IF(COUNTIFS('Lançamentos Diários'!$A$5:$A$504,A508,'Lançamentos Diários'!$B$5:$B$504,B508)&gt;0,"OK","FALTA LANÇAMENTO"))</f>
        <v/>
      </c>
    </row>
    <row r="509">
      <c r="A509" s="14" t="n"/>
      <c r="B509" s="7" t="n"/>
      <c r="C509" s="15" t="n"/>
      <c r="D509" s="15" t="n"/>
      <c r="E509" s="7" t="n"/>
      <c r="F509" s="12">
        <f>IF(OR(C509="",D509=""),"",ROUND(MOD(D509-C509,1)*24,2))</f>
        <v/>
      </c>
      <c r="G509" s="7" t="n"/>
      <c r="H509" s="17">
        <f>IF(OR(A509="",B509=""),"",IF(COUNTIFS('Lançamentos Diários'!$A$5:$A$504,A509,'Lançamentos Diários'!$B$5:$B$504,B509)&gt;0,"OK","FALTA LANÇAMENTO"))</f>
        <v/>
      </c>
    </row>
    <row r="510">
      <c r="A510" s="14" t="n"/>
      <c r="B510" s="7" t="n"/>
      <c r="C510" s="15" t="n"/>
      <c r="D510" s="15" t="n"/>
      <c r="E510" s="7" t="n"/>
      <c r="F510" s="12">
        <f>IF(OR(C510="",D510=""),"",ROUND(MOD(D510-C510,1)*24,2))</f>
        <v/>
      </c>
      <c r="G510" s="7" t="n"/>
      <c r="H510" s="17">
        <f>IF(OR(A510="",B510=""),"",IF(COUNTIFS('Lançamentos Diários'!$A$5:$A$504,A510,'Lançamentos Diários'!$B$5:$B$504,B510)&gt;0,"OK","FALTA LANÇAMENTO"))</f>
        <v/>
      </c>
    </row>
    <row r="511">
      <c r="A511" s="14" t="n"/>
      <c r="B511" s="7" t="n"/>
      <c r="C511" s="15" t="n"/>
      <c r="D511" s="15" t="n"/>
      <c r="E511" s="7" t="n"/>
      <c r="F511" s="12">
        <f>IF(OR(C511="",D511=""),"",ROUND(MOD(D511-C511,1)*24,2))</f>
        <v/>
      </c>
      <c r="G511" s="7" t="n"/>
      <c r="H511" s="17">
        <f>IF(OR(A511="",B511=""),"",IF(COUNTIFS('Lançamentos Diários'!$A$5:$A$504,A511,'Lançamentos Diários'!$B$5:$B$504,B511)&gt;0,"OK","FALTA LANÇAMENTO"))</f>
        <v/>
      </c>
    </row>
    <row r="512">
      <c r="A512" s="14" t="n"/>
      <c r="B512" s="7" t="n"/>
      <c r="C512" s="15" t="n"/>
      <c r="D512" s="15" t="n"/>
      <c r="E512" s="7" t="n"/>
      <c r="F512" s="12">
        <f>IF(OR(C512="",D512=""),"",ROUND(MOD(D512-C512,1)*24,2))</f>
        <v/>
      </c>
      <c r="G512" s="7" t="n"/>
      <c r="H512" s="17">
        <f>IF(OR(A512="",B512=""),"",IF(COUNTIFS('Lançamentos Diários'!$A$5:$A$504,A512,'Lançamentos Diários'!$B$5:$B$504,B512)&gt;0,"OK","FALTA LANÇAMENTO"))</f>
        <v/>
      </c>
    </row>
    <row r="513">
      <c r="A513" s="14" t="n"/>
      <c r="B513" s="7" t="n"/>
      <c r="C513" s="15" t="n"/>
      <c r="D513" s="15" t="n"/>
      <c r="E513" s="7" t="n"/>
      <c r="F513" s="12">
        <f>IF(OR(C513="",D513=""),"",ROUND(MOD(D513-C513,1)*24,2))</f>
        <v/>
      </c>
      <c r="G513" s="7" t="n"/>
      <c r="H513" s="17">
        <f>IF(OR(A513="",B513=""),"",IF(COUNTIFS('Lançamentos Diários'!$A$5:$A$504,A513,'Lançamentos Diários'!$B$5:$B$504,B513)&gt;0,"OK","FALTA LANÇAMENTO"))</f>
        <v/>
      </c>
    </row>
    <row r="514">
      <c r="A514" s="14" t="n"/>
      <c r="B514" s="7" t="n"/>
      <c r="C514" s="15" t="n"/>
      <c r="D514" s="15" t="n"/>
      <c r="E514" s="7" t="n"/>
      <c r="F514" s="12">
        <f>IF(OR(C514="",D514=""),"",ROUND(MOD(D514-C514,1)*24,2))</f>
        <v/>
      </c>
      <c r="G514" s="7" t="n"/>
      <c r="H514" s="17">
        <f>IF(OR(A514="",B514=""),"",IF(COUNTIFS('Lançamentos Diários'!$A$5:$A$504,A514,'Lançamentos Diários'!$B$5:$B$504,B514)&gt;0,"OK","FALTA LANÇAMENTO"))</f>
        <v/>
      </c>
    </row>
    <row r="515">
      <c r="A515" s="14" t="n"/>
      <c r="B515" s="7" t="n"/>
      <c r="C515" s="15" t="n"/>
      <c r="D515" s="15" t="n"/>
      <c r="E515" s="7" t="n"/>
      <c r="F515" s="12">
        <f>IF(OR(C515="",D515=""),"",ROUND(MOD(D515-C515,1)*24,2))</f>
        <v/>
      </c>
      <c r="G515" s="7" t="n"/>
      <c r="H515" s="17">
        <f>IF(OR(A515="",B515=""),"",IF(COUNTIFS('Lançamentos Diários'!$A$5:$A$504,A515,'Lançamentos Diários'!$B$5:$B$504,B515)&gt;0,"OK","FALTA LANÇAMENTO"))</f>
        <v/>
      </c>
    </row>
    <row r="516">
      <c r="A516" s="14" t="n"/>
      <c r="B516" s="7" t="n"/>
      <c r="C516" s="15" t="n"/>
      <c r="D516" s="15" t="n"/>
      <c r="E516" s="7" t="n"/>
      <c r="F516" s="12">
        <f>IF(OR(C516="",D516=""),"",ROUND(MOD(D516-C516,1)*24,2))</f>
        <v/>
      </c>
      <c r="G516" s="7" t="n"/>
      <c r="H516" s="17">
        <f>IF(OR(A516="",B516=""),"",IF(COUNTIFS('Lançamentos Diários'!$A$5:$A$504,A516,'Lançamentos Diários'!$B$5:$B$504,B516)&gt;0,"OK","FALTA LANÇAMENTO"))</f>
        <v/>
      </c>
    </row>
    <row r="517">
      <c r="A517" s="14" t="n"/>
      <c r="B517" s="7" t="n"/>
      <c r="C517" s="15" t="n"/>
      <c r="D517" s="15" t="n"/>
      <c r="E517" s="7" t="n"/>
      <c r="F517" s="12">
        <f>IF(OR(C517="",D517=""),"",ROUND(MOD(D517-C517,1)*24,2))</f>
        <v/>
      </c>
      <c r="G517" s="7" t="n"/>
      <c r="H517" s="17">
        <f>IF(OR(A517="",B517=""),"",IF(COUNTIFS('Lançamentos Diários'!$A$5:$A$504,A517,'Lançamentos Diários'!$B$5:$B$504,B517)&gt;0,"OK","FALTA LANÇAMENTO"))</f>
        <v/>
      </c>
    </row>
    <row r="518">
      <c r="A518" s="14" t="n"/>
      <c r="B518" s="7" t="n"/>
      <c r="C518" s="15" t="n"/>
      <c r="D518" s="15" t="n"/>
      <c r="E518" s="7" t="n"/>
      <c r="F518" s="12">
        <f>IF(OR(C518="",D518=""),"",ROUND(MOD(D518-C518,1)*24,2))</f>
        <v/>
      </c>
      <c r="G518" s="7" t="n"/>
      <c r="H518" s="17">
        <f>IF(OR(A518="",B518=""),"",IF(COUNTIFS('Lançamentos Diários'!$A$5:$A$504,A518,'Lançamentos Diários'!$B$5:$B$504,B518)&gt;0,"OK","FALTA LANÇAMENTO"))</f>
        <v/>
      </c>
    </row>
    <row r="519">
      <c r="A519" s="14" t="n"/>
      <c r="B519" s="7" t="n"/>
      <c r="C519" s="15" t="n"/>
      <c r="D519" s="15" t="n"/>
      <c r="E519" s="7" t="n"/>
      <c r="F519" s="12">
        <f>IF(OR(C519="",D519=""),"",ROUND(MOD(D519-C519,1)*24,2))</f>
        <v/>
      </c>
      <c r="G519" s="7" t="n"/>
      <c r="H519" s="17">
        <f>IF(OR(A519="",B519=""),"",IF(COUNTIFS('Lançamentos Diários'!$A$5:$A$504,A519,'Lançamentos Diários'!$B$5:$B$504,B519)&gt;0,"OK","FALTA LANÇAMENTO"))</f>
        <v/>
      </c>
    </row>
    <row r="520">
      <c r="A520" s="14" t="n"/>
      <c r="B520" s="7" t="n"/>
      <c r="C520" s="15" t="n"/>
      <c r="D520" s="15" t="n"/>
      <c r="E520" s="7" t="n"/>
      <c r="F520" s="12">
        <f>IF(OR(C520="",D520=""),"",ROUND(MOD(D520-C520,1)*24,2))</f>
        <v/>
      </c>
      <c r="G520" s="7" t="n"/>
      <c r="H520" s="17">
        <f>IF(OR(A520="",B520=""),"",IF(COUNTIFS('Lançamentos Diários'!$A$5:$A$504,A520,'Lançamentos Diários'!$B$5:$B$504,B520)&gt;0,"OK","FALTA LANÇAMENTO"))</f>
        <v/>
      </c>
    </row>
    <row r="521">
      <c r="A521" s="14" t="n"/>
      <c r="B521" s="7" t="n"/>
      <c r="C521" s="15" t="n"/>
      <c r="D521" s="15" t="n"/>
      <c r="E521" s="7" t="n"/>
      <c r="F521" s="12">
        <f>IF(OR(C521="",D521=""),"",ROUND(MOD(D521-C521,1)*24,2))</f>
        <v/>
      </c>
      <c r="G521" s="7" t="n"/>
      <c r="H521" s="17">
        <f>IF(OR(A521="",B521=""),"",IF(COUNTIFS('Lançamentos Diários'!$A$5:$A$504,A521,'Lançamentos Diários'!$B$5:$B$504,B521)&gt;0,"OK","FALTA LANÇAMENTO"))</f>
        <v/>
      </c>
    </row>
    <row r="522">
      <c r="A522" s="14" t="n"/>
      <c r="B522" s="7" t="n"/>
      <c r="C522" s="15" t="n"/>
      <c r="D522" s="15" t="n"/>
      <c r="E522" s="7" t="n"/>
      <c r="F522" s="12">
        <f>IF(OR(C522="",D522=""),"",ROUND(MOD(D522-C522,1)*24,2))</f>
        <v/>
      </c>
      <c r="G522" s="7" t="n"/>
      <c r="H522" s="17">
        <f>IF(OR(A522="",B522=""),"",IF(COUNTIFS('Lançamentos Diários'!$A$5:$A$504,A522,'Lançamentos Diários'!$B$5:$B$504,B522)&gt;0,"OK","FALTA LANÇAMENTO"))</f>
        <v/>
      </c>
    </row>
    <row r="523">
      <c r="A523" s="14" t="n"/>
      <c r="B523" s="7" t="n"/>
      <c r="C523" s="15" t="n"/>
      <c r="D523" s="15" t="n"/>
      <c r="E523" s="7" t="n"/>
      <c r="F523" s="12">
        <f>IF(OR(C523="",D523=""),"",ROUND(MOD(D523-C523,1)*24,2))</f>
        <v/>
      </c>
      <c r="G523" s="7" t="n"/>
      <c r="H523" s="17">
        <f>IF(OR(A523="",B523=""),"",IF(COUNTIFS('Lançamentos Diários'!$A$5:$A$504,A523,'Lançamentos Diários'!$B$5:$B$504,B523)&gt;0,"OK","FALTA LANÇAMENTO"))</f>
        <v/>
      </c>
    </row>
    <row r="524">
      <c r="A524" s="14" t="n"/>
      <c r="B524" s="7" t="n"/>
      <c r="C524" s="15" t="n"/>
      <c r="D524" s="15" t="n"/>
      <c r="E524" s="7" t="n"/>
      <c r="F524" s="12">
        <f>IF(OR(C524="",D524=""),"",ROUND(MOD(D524-C524,1)*24,2))</f>
        <v/>
      </c>
      <c r="G524" s="7" t="n"/>
      <c r="H524" s="17">
        <f>IF(OR(A524="",B524=""),"",IF(COUNTIFS('Lançamentos Diários'!$A$5:$A$504,A524,'Lançamentos Diários'!$B$5:$B$504,B524)&gt;0,"OK","FALTA LANÇAMENTO"))</f>
        <v/>
      </c>
    </row>
    <row r="525">
      <c r="A525" s="14" t="n"/>
      <c r="B525" s="7" t="n"/>
      <c r="C525" s="15" t="n"/>
      <c r="D525" s="15" t="n"/>
      <c r="E525" s="7" t="n"/>
      <c r="F525" s="12">
        <f>IF(OR(C525="",D525=""),"",ROUND(MOD(D525-C525,1)*24,2))</f>
        <v/>
      </c>
      <c r="G525" s="7" t="n"/>
      <c r="H525" s="17">
        <f>IF(OR(A525="",B525=""),"",IF(COUNTIFS('Lançamentos Diários'!$A$5:$A$504,A525,'Lançamentos Diários'!$B$5:$B$504,B525)&gt;0,"OK","FALTA LANÇAMENTO"))</f>
        <v/>
      </c>
    </row>
    <row r="526">
      <c r="A526" s="14" t="n"/>
      <c r="B526" s="7" t="n"/>
      <c r="C526" s="15" t="n"/>
      <c r="D526" s="15" t="n"/>
      <c r="E526" s="7" t="n"/>
      <c r="F526" s="12">
        <f>IF(OR(C526="",D526=""),"",ROUND(MOD(D526-C526,1)*24,2))</f>
        <v/>
      </c>
      <c r="G526" s="7" t="n"/>
      <c r="H526" s="17">
        <f>IF(OR(A526="",B526=""),"",IF(COUNTIFS('Lançamentos Diários'!$A$5:$A$504,A526,'Lançamentos Diários'!$B$5:$B$504,B526)&gt;0,"OK","FALTA LANÇAMENTO"))</f>
        <v/>
      </c>
    </row>
    <row r="527">
      <c r="A527" s="14" t="n"/>
      <c r="B527" s="7" t="n"/>
      <c r="C527" s="15" t="n"/>
      <c r="D527" s="15" t="n"/>
      <c r="E527" s="7" t="n"/>
      <c r="F527" s="12">
        <f>IF(OR(C527="",D527=""),"",ROUND(MOD(D527-C527,1)*24,2))</f>
        <v/>
      </c>
      <c r="G527" s="7" t="n"/>
      <c r="H527" s="17">
        <f>IF(OR(A527="",B527=""),"",IF(COUNTIFS('Lançamentos Diários'!$A$5:$A$504,A527,'Lançamentos Diários'!$B$5:$B$504,B527)&gt;0,"OK","FALTA LANÇAMENTO"))</f>
        <v/>
      </c>
    </row>
    <row r="528">
      <c r="A528" s="14" t="n"/>
      <c r="B528" s="7" t="n"/>
      <c r="C528" s="15" t="n"/>
      <c r="D528" s="15" t="n"/>
      <c r="E528" s="7" t="n"/>
      <c r="F528" s="12">
        <f>IF(OR(C528="",D528=""),"",ROUND(MOD(D528-C528,1)*24,2))</f>
        <v/>
      </c>
      <c r="G528" s="7" t="n"/>
      <c r="H528" s="17">
        <f>IF(OR(A528="",B528=""),"",IF(COUNTIFS('Lançamentos Diários'!$A$5:$A$504,A528,'Lançamentos Diários'!$B$5:$B$504,B528)&gt;0,"OK","FALTA LANÇAMENTO"))</f>
        <v/>
      </c>
    </row>
    <row r="529">
      <c r="A529" s="14" t="n"/>
      <c r="B529" s="7" t="n"/>
      <c r="C529" s="15" t="n"/>
      <c r="D529" s="15" t="n"/>
      <c r="E529" s="7" t="n"/>
      <c r="F529" s="12">
        <f>IF(OR(C529="",D529=""),"",ROUND(MOD(D529-C529,1)*24,2))</f>
        <v/>
      </c>
      <c r="G529" s="7" t="n"/>
      <c r="H529" s="17">
        <f>IF(OR(A529="",B529=""),"",IF(COUNTIFS('Lançamentos Diários'!$A$5:$A$504,A529,'Lançamentos Diários'!$B$5:$B$504,B529)&gt;0,"OK","FALTA LANÇAMENTO"))</f>
        <v/>
      </c>
    </row>
    <row r="530">
      <c r="A530" s="14" t="n"/>
      <c r="B530" s="7" t="n"/>
      <c r="C530" s="15" t="n"/>
      <c r="D530" s="15" t="n"/>
      <c r="E530" s="7" t="n"/>
      <c r="F530" s="12">
        <f>IF(OR(C530="",D530=""),"",ROUND(MOD(D530-C530,1)*24,2))</f>
        <v/>
      </c>
      <c r="G530" s="7" t="n"/>
      <c r="H530" s="17">
        <f>IF(OR(A530="",B530=""),"",IF(COUNTIFS('Lançamentos Diários'!$A$5:$A$504,A530,'Lançamentos Diários'!$B$5:$B$504,B530)&gt;0,"OK","FALTA LANÇAMENTO"))</f>
        <v/>
      </c>
    </row>
    <row r="531">
      <c r="A531" s="14" t="n"/>
      <c r="B531" s="7" t="n"/>
      <c r="C531" s="15" t="n"/>
      <c r="D531" s="15" t="n"/>
      <c r="E531" s="7" t="n"/>
      <c r="F531" s="12">
        <f>IF(OR(C531="",D531=""),"",ROUND(MOD(D531-C531,1)*24,2))</f>
        <v/>
      </c>
      <c r="G531" s="7" t="n"/>
      <c r="H531" s="17">
        <f>IF(OR(A531="",B531=""),"",IF(COUNTIFS('Lançamentos Diários'!$A$5:$A$504,A531,'Lançamentos Diários'!$B$5:$B$504,B531)&gt;0,"OK","FALTA LANÇAMENTO"))</f>
        <v/>
      </c>
    </row>
    <row r="532">
      <c r="A532" s="14" t="n"/>
      <c r="B532" s="7" t="n"/>
      <c r="C532" s="15" t="n"/>
      <c r="D532" s="15" t="n"/>
      <c r="E532" s="7" t="n"/>
      <c r="F532" s="12">
        <f>IF(OR(C532="",D532=""),"",ROUND(MOD(D532-C532,1)*24,2))</f>
        <v/>
      </c>
      <c r="G532" s="7" t="n"/>
      <c r="H532" s="17">
        <f>IF(OR(A532="",B532=""),"",IF(COUNTIFS('Lançamentos Diários'!$A$5:$A$504,A532,'Lançamentos Diários'!$B$5:$B$504,B532)&gt;0,"OK","FALTA LANÇAMENTO"))</f>
        <v/>
      </c>
    </row>
    <row r="533">
      <c r="A533" s="14" t="n"/>
      <c r="B533" s="7" t="n"/>
      <c r="C533" s="15" t="n"/>
      <c r="D533" s="15" t="n"/>
      <c r="E533" s="7" t="n"/>
      <c r="F533" s="12">
        <f>IF(OR(C533="",D533=""),"",ROUND(MOD(D533-C533,1)*24,2))</f>
        <v/>
      </c>
      <c r="G533" s="7" t="n"/>
      <c r="H533" s="17">
        <f>IF(OR(A533="",B533=""),"",IF(COUNTIFS('Lançamentos Diários'!$A$5:$A$504,A533,'Lançamentos Diários'!$B$5:$B$504,B533)&gt;0,"OK","FALTA LANÇAMENTO"))</f>
        <v/>
      </c>
    </row>
    <row r="534">
      <c r="A534" s="14" t="n"/>
      <c r="B534" s="7" t="n"/>
      <c r="C534" s="15" t="n"/>
      <c r="D534" s="15" t="n"/>
      <c r="E534" s="7" t="n"/>
      <c r="F534" s="12">
        <f>IF(OR(C534="",D534=""),"",ROUND(MOD(D534-C534,1)*24,2))</f>
        <v/>
      </c>
      <c r="G534" s="7" t="n"/>
      <c r="H534" s="17">
        <f>IF(OR(A534="",B534=""),"",IF(COUNTIFS('Lançamentos Diários'!$A$5:$A$504,A534,'Lançamentos Diários'!$B$5:$B$504,B534)&gt;0,"OK","FALTA LANÇAMENTO"))</f>
        <v/>
      </c>
    </row>
    <row r="535">
      <c r="A535" s="14" t="n"/>
      <c r="B535" s="7" t="n"/>
      <c r="C535" s="15" t="n"/>
      <c r="D535" s="15" t="n"/>
      <c r="E535" s="7" t="n"/>
      <c r="F535" s="12">
        <f>IF(OR(C535="",D535=""),"",ROUND(MOD(D535-C535,1)*24,2))</f>
        <v/>
      </c>
      <c r="G535" s="7" t="n"/>
      <c r="H535" s="17">
        <f>IF(OR(A535="",B535=""),"",IF(COUNTIFS('Lançamentos Diários'!$A$5:$A$504,A535,'Lançamentos Diários'!$B$5:$B$504,B535)&gt;0,"OK","FALTA LANÇAMENTO"))</f>
        <v/>
      </c>
    </row>
    <row r="536">
      <c r="A536" s="14" t="n"/>
      <c r="B536" s="7" t="n"/>
      <c r="C536" s="15" t="n"/>
      <c r="D536" s="15" t="n"/>
      <c r="E536" s="7" t="n"/>
      <c r="F536" s="12">
        <f>IF(OR(C536="",D536=""),"",ROUND(MOD(D536-C536,1)*24,2))</f>
        <v/>
      </c>
      <c r="G536" s="7" t="n"/>
      <c r="H536" s="17">
        <f>IF(OR(A536="",B536=""),"",IF(COUNTIFS('Lançamentos Diários'!$A$5:$A$504,A536,'Lançamentos Diários'!$B$5:$B$504,B536)&gt;0,"OK","FALTA LANÇAMENTO"))</f>
        <v/>
      </c>
    </row>
    <row r="537">
      <c r="A537" s="14" t="n"/>
      <c r="B537" s="7" t="n"/>
      <c r="C537" s="15" t="n"/>
      <c r="D537" s="15" t="n"/>
      <c r="E537" s="7" t="n"/>
      <c r="F537" s="12">
        <f>IF(OR(C537="",D537=""),"",ROUND(MOD(D537-C537,1)*24,2))</f>
        <v/>
      </c>
      <c r="G537" s="7" t="n"/>
      <c r="H537" s="17">
        <f>IF(OR(A537="",B537=""),"",IF(COUNTIFS('Lançamentos Diários'!$A$5:$A$504,A537,'Lançamentos Diários'!$B$5:$B$504,B537)&gt;0,"OK","FALTA LANÇAMENTO"))</f>
        <v/>
      </c>
    </row>
    <row r="538">
      <c r="A538" s="14" t="n"/>
      <c r="B538" s="7" t="n"/>
      <c r="C538" s="15" t="n"/>
      <c r="D538" s="15" t="n"/>
      <c r="E538" s="7" t="n"/>
      <c r="F538" s="12">
        <f>IF(OR(C538="",D538=""),"",ROUND(MOD(D538-C538,1)*24,2))</f>
        <v/>
      </c>
      <c r="G538" s="7" t="n"/>
      <c r="H538" s="17">
        <f>IF(OR(A538="",B538=""),"",IF(COUNTIFS('Lançamentos Diários'!$A$5:$A$504,A538,'Lançamentos Diários'!$B$5:$B$504,B538)&gt;0,"OK","FALTA LANÇAMENTO"))</f>
        <v/>
      </c>
    </row>
    <row r="539">
      <c r="A539" s="14" t="n"/>
      <c r="B539" s="7" t="n"/>
      <c r="C539" s="15" t="n"/>
      <c r="D539" s="15" t="n"/>
      <c r="E539" s="7" t="n"/>
      <c r="F539" s="12">
        <f>IF(OR(C539="",D539=""),"",ROUND(MOD(D539-C539,1)*24,2))</f>
        <v/>
      </c>
      <c r="G539" s="7" t="n"/>
      <c r="H539" s="17">
        <f>IF(OR(A539="",B539=""),"",IF(COUNTIFS('Lançamentos Diários'!$A$5:$A$504,A539,'Lançamentos Diários'!$B$5:$B$504,B539)&gt;0,"OK","FALTA LANÇAMENTO"))</f>
        <v/>
      </c>
    </row>
    <row r="540">
      <c r="A540" s="14" t="n"/>
      <c r="B540" s="7" t="n"/>
      <c r="C540" s="15" t="n"/>
      <c r="D540" s="15" t="n"/>
      <c r="E540" s="7" t="n"/>
      <c r="F540" s="12">
        <f>IF(OR(C540="",D540=""),"",ROUND(MOD(D540-C540,1)*24,2))</f>
        <v/>
      </c>
      <c r="G540" s="7" t="n"/>
      <c r="H540" s="17">
        <f>IF(OR(A540="",B540=""),"",IF(COUNTIFS('Lançamentos Diários'!$A$5:$A$504,A540,'Lançamentos Diários'!$B$5:$B$504,B540)&gt;0,"OK","FALTA LANÇAMENTO"))</f>
        <v/>
      </c>
    </row>
    <row r="541">
      <c r="A541" s="14" t="n"/>
      <c r="B541" s="7" t="n"/>
      <c r="C541" s="15" t="n"/>
      <c r="D541" s="15" t="n"/>
      <c r="E541" s="7" t="n"/>
      <c r="F541" s="12">
        <f>IF(OR(C541="",D541=""),"",ROUND(MOD(D541-C541,1)*24,2))</f>
        <v/>
      </c>
      <c r="G541" s="7" t="n"/>
      <c r="H541" s="17">
        <f>IF(OR(A541="",B541=""),"",IF(COUNTIFS('Lançamentos Diários'!$A$5:$A$504,A541,'Lançamentos Diários'!$B$5:$B$504,B541)&gt;0,"OK","FALTA LANÇAMENTO"))</f>
        <v/>
      </c>
    </row>
    <row r="542">
      <c r="A542" s="14" t="n"/>
      <c r="B542" s="7" t="n"/>
      <c r="C542" s="15" t="n"/>
      <c r="D542" s="15" t="n"/>
      <c r="E542" s="7" t="n"/>
      <c r="F542" s="12">
        <f>IF(OR(C542="",D542=""),"",ROUND(MOD(D542-C542,1)*24,2))</f>
        <v/>
      </c>
      <c r="G542" s="7" t="n"/>
      <c r="H542" s="17">
        <f>IF(OR(A542="",B542=""),"",IF(COUNTIFS('Lançamentos Diários'!$A$5:$A$504,A542,'Lançamentos Diários'!$B$5:$B$504,B542)&gt;0,"OK","FALTA LANÇAMENTO"))</f>
        <v/>
      </c>
    </row>
    <row r="543">
      <c r="A543" s="14" t="n"/>
      <c r="B543" s="7" t="n"/>
      <c r="C543" s="15" t="n"/>
      <c r="D543" s="15" t="n"/>
      <c r="E543" s="7" t="n"/>
      <c r="F543" s="12">
        <f>IF(OR(C543="",D543=""),"",ROUND(MOD(D543-C543,1)*24,2))</f>
        <v/>
      </c>
      <c r="G543" s="7" t="n"/>
      <c r="H543" s="17">
        <f>IF(OR(A543="",B543=""),"",IF(COUNTIFS('Lançamentos Diários'!$A$5:$A$504,A543,'Lançamentos Diários'!$B$5:$B$504,B543)&gt;0,"OK","FALTA LANÇAMENTO"))</f>
        <v/>
      </c>
    </row>
    <row r="544">
      <c r="A544" s="14" t="n"/>
      <c r="B544" s="7" t="n"/>
      <c r="C544" s="15" t="n"/>
      <c r="D544" s="15" t="n"/>
      <c r="E544" s="7" t="n"/>
      <c r="F544" s="12">
        <f>IF(OR(C544="",D544=""),"",ROUND(MOD(D544-C544,1)*24,2))</f>
        <v/>
      </c>
      <c r="G544" s="7" t="n"/>
      <c r="H544" s="17">
        <f>IF(OR(A544="",B544=""),"",IF(COUNTIFS('Lançamentos Diários'!$A$5:$A$504,A544,'Lançamentos Diários'!$B$5:$B$504,B544)&gt;0,"OK","FALTA LANÇAMENTO"))</f>
        <v/>
      </c>
    </row>
    <row r="545">
      <c r="A545" s="14" t="n"/>
      <c r="B545" s="7" t="n"/>
      <c r="C545" s="15" t="n"/>
      <c r="D545" s="15" t="n"/>
      <c r="E545" s="7" t="n"/>
      <c r="F545" s="12">
        <f>IF(OR(C545="",D545=""),"",ROUND(MOD(D545-C545,1)*24,2))</f>
        <v/>
      </c>
      <c r="G545" s="7" t="n"/>
      <c r="H545" s="17">
        <f>IF(OR(A545="",B545=""),"",IF(COUNTIFS('Lançamentos Diários'!$A$5:$A$504,A545,'Lançamentos Diários'!$B$5:$B$504,B545)&gt;0,"OK","FALTA LANÇAMENTO"))</f>
        <v/>
      </c>
    </row>
    <row r="546">
      <c r="A546" s="14" t="n"/>
      <c r="B546" s="7" t="n"/>
      <c r="C546" s="15" t="n"/>
      <c r="D546" s="15" t="n"/>
      <c r="E546" s="7" t="n"/>
      <c r="F546" s="12">
        <f>IF(OR(C546="",D546=""),"",ROUND(MOD(D546-C546,1)*24,2))</f>
        <v/>
      </c>
      <c r="G546" s="7" t="n"/>
      <c r="H546" s="17">
        <f>IF(OR(A546="",B546=""),"",IF(COUNTIFS('Lançamentos Diários'!$A$5:$A$504,A546,'Lançamentos Diários'!$B$5:$B$504,B546)&gt;0,"OK","FALTA LANÇAMENTO"))</f>
        <v/>
      </c>
    </row>
    <row r="547">
      <c r="A547" s="14" t="n"/>
      <c r="B547" s="7" t="n"/>
      <c r="C547" s="15" t="n"/>
      <c r="D547" s="15" t="n"/>
      <c r="E547" s="7" t="n"/>
      <c r="F547" s="12">
        <f>IF(OR(C547="",D547=""),"",ROUND(MOD(D547-C547,1)*24,2))</f>
        <v/>
      </c>
      <c r="G547" s="7" t="n"/>
      <c r="H547" s="17">
        <f>IF(OR(A547="",B547=""),"",IF(COUNTIFS('Lançamentos Diários'!$A$5:$A$504,A547,'Lançamentos Diários'!$B$5:$B$504,B547)&gt;0,"OK","FALTA LANÇAMENTO"))</f>
        <v/>
      </c>
    </row>
    <row r="548">
      <c r="A548" s="14" t="n"/>
      <c r="B548" s="7" t="n"/>
      <c r="C548" s="15" t="n"/>
      <c r="D548" s="15" t="n"/>
      <c r="E548" s="7" t="n"/>
      <c r="F548" s="12">
        <f>IF(OR(C548="",D548=""),"",ROUND(MOD(D548-C548,1)*24,2))</f>
        <v/>
      </c>
      <c r="G548" s="7" t="n"/>
      <c r="H548" s="17">
        <f>IF(OR(A548="",B548=""),"",IF(COUNTIFS('Lançamentos Diários'!$A$5:$A$504,A548,'Lançamentos Diários'!$B$5:$B$504,B548)&gt;0,"OK","FALTA LANÇAMENTO"))</f>
        <v/>
      </c>
    </row>
    <row r="549">
      <c r="A549" s="14" t="n"/>
      <c r="B549" s="7" t="n"/>
      <c r="C549" s="15" t="n"/>
      <c r="D549" s="15" t="n"/>
      <c r="E549" s="7" t="n"/>
      <c r="F549" s="12">
        <f>IF(OR(C549="",D549=""),"",ROUND(MOD(D549-C549,1)*24,2))</f>
        <v/>
      </c>
      <c r="G549" s="7" t="n"/>
      <c r="H549" s="17">
        <f>IF(OR(A549="",B549=""),"",IF(COUNTIFS('Lançamentos Diários'!$A$5:$A$504,A549,'Lançamentos Diários'!$B$5:$B$504,B549)&gt;0,"OK","FALTA LANÇAMENTO"))</f>
        <v/>
      </c>
    </row>
    <row r="550">
      <c r="A550" s="14" t="n"/>
      <c r="B550" s="7" t="n"/>
      <c r="C550" s="15" t="n"/>
      <c r="D550" s="15" t="n"/>
      <c r="E550" s="7" t="n"/>
      <c r="F550" s="12">
        <f>IF(OR(C550="",D550=""),"",ROUND(MOD(D550-C550,1)*24,2))</f>
        <v/>
      </c>
      <c r="G550" s="7" t="n"/>
      <c r="H550" s="17">
        <f>IF(OR(A550="",B550=""),"",IF(COUNTIFS('Lançamentos Diários'!$A$5:$A$504,A550,'Lançamentos Diários'!$B$5:$B$504,B550)&gt;0,"OK","FALTA LANÇAMENTO"))</f>
        <v/>
      </c>
    </row>
    <row r="551">
      <c r="A551" s="14" t="n"/>
      <c r="B551" s="7" t="n"/>
      <c r="C551" s="15" t="n"/>
      <c r="D551" s="15" t="n"/>
      <c r="E551" s="7" t="n"/>
      <c r="F551" s="12">
        <f>IF(OR(C551="",D551=""),"",ROUND(MOD(D551-C551,1)*24,2))</f>
        <v/>
      </c>
      <c r="G551" s="7" t="n"/>
      <c r="H551" s="17">
        <f>IF(OR(A551="",B551=""),"",IF(COUNTIFS('Lançamentos Diários'!$A$5:$A$504,A551,'Lançamentos Diários'!$B$5:$B$504,B551)&gt;0,"OK","FALTA LANÇAMENTO"))</f>
        <v/>
      </c>
    </row>
    <row r="552">
      <c r="A552" s="14" t="n"/>
      <c r="B552" s="7" t="n"/>
      <c r="C552" s="15" t="n"/>
      <c r="D552" s="15" t="n"/>
      <c r="E552" s="7" t="n"/>
      <c r="F552" s="12">
        <f>IF(OR(C552="",D552=""),"",ROUND(MOD(D552-C552,1)*24,2))</f>
        <v/>
      </c>
      <c r="G552" s="7" t="n"/>
      <c r="H552" s="17">
        <f>IF(OR(A552="",B552=""),"",IF(COUNTIFS('Lançamentos Diários'!$A$5:$A$504,A552,'Lançamentos Diários'!$B$5:$B$504,B552)&gt;0,"OK","FALTA LANÇAMENTO"))</f>
        <v/>
      </c>
    </row>
    <row r="553">
      <c r="A553" s="14" t="n"/>
      <c r="B553" s="7" t="n"/>
      <c r="C553" s="15" t="n"/>
      <c r="D553" s="15" t="n"/>
      <c r="E553" s="7" t="n"/>
      <c r="F553" s="12">
        <f>IF(OR(C553="",D553=""),"",ROUND(MOD(D553-C553,1)*24,2))</f>
        <v/>
      </c>
      <c r="G553" s="7" t="n"/>
      <c r="H553" s="17">
        <f>IF(OR(A553="",B553=""),"",IF(COUNTIFS('Lançamentos Diários'!$A$5:$A$504,A553,'Lançamentos Diários'!$B$5:$B$504,B553)&gt;0,"OK","FALTA LANÇAMENTO"))</f>
        <v/>
      </c>
    </row>
    <row r="554">
      <c r="A554" s="14" t="n"/>
      <c r="B554" s="7" t="n"/>
      <c r="C554" s="15" t="n"/>
      <c r="D554" s="15" t="n"/>
      <c r="E554" s="7" t="n"/>
      <c r="F554" s="12">
        <f>IF(OR(C554="",D554=""),"",ROUND(MOD(D554-C554,1)*24,2))</f>
        <v/>
      </c>
      <c r="G554" s="7" t="n"/>
      <c r="H554" s="17">
        <f>IF(OR(A554="",B554=""),"",IF(COUNTIFS('Lançamentos Diários'!$A$5:$A$504,A554,'Lançamentos Diários'!$B$5:$B$504,B554)&gt;0,"OK","FALTA LANÇAMENTO"))</f>
        <v/>
      </c>
    </row>
    <row r="555">
      <c r="A555" s="14" t="n"/>
      <c r="B555" s="7" t="n"/>
      <c r="C555" s="15" t="n"/>
      <c r="D555" s="15" t="n"/>
      <c r="E555" s="7" t="n"/>
      <c r="F555" s="12">
        <f>IF(OR(C555="",D555=""),"",ROUND(MOD(D555-C555,1)*24,2))</f>
        <v/>
      </c>
      <c r="G555" s="7" t="n"/>
      <c r="H555" s="17">
        <f>IF(OR(A555="",B555=""),"",IF(COUNTIFS('Lançamentos Diários'!$A$5:$A$504,A555,'Lançamentos Diários'!$B$5:$B$504,B555)&gt;0,"OK","FALTA LANÇAMENTO"))</f>
        <v/>
      </c>
    </row>
    <row r="556">
      <c r="A556" s="14" t="n"/>
      <c r="B556" s="7" t="n"/>
      <c r="C556" s="15" t="n"/>
      <c r="D556" s="15" t="n"/>
      <c r="E556" s="7" t="n"/>
      <c r="F556" s="12">
        <f>IF(OR(C556="",D556=""),"",ROUND(MOD(D556-C556,1)*24,2))</f>
        <v/>
      </c>
      <c r="G556" s="7" t="n"/>
      <c r="H556" s="17">
        <f>IF(OR(A556="",B556=""),"",IF(COUNTIFS('Lançamentos Diários'!$A$5:$A$504,A556,'Lançamentos Diários'!$B$5:$B$504,B556)&gt;0,"OK","FALTA LANÇAMENTO"))</f>
        <v/>
      </c>
    </row>
    <row r="557">
      <c r="A557" s="14" t="n"/>
      <c r="B557" s="7" t="n"/>
      <c r="C557" s="15" t="n"/>
      <c r="D557" s="15" t="n"/>
      <c r="E557" s="7" t="n"/>
      <c r="F557" s="12">
        <f>IF(OR(C557="",D557=""),"",ROUND(MOD(D557-C557,1)*24,2))</f>
        <v/>
      </c>
      <c r="G557" s="7" t="n"/>
      <c r="H557" s="17">
        <f>IF(OR(A557="",B557=""),"",IF(COUNTIFS('Lançamentos Diários'!$A$5:$A$504,A557,'Lançamentos Diários'!$B$5:$B$504,B557)&gt;0,"OK","FALTA LANÇAMENTO"))</f>
        <v/>
      </c>
    </row>
    <row r="558">
      <c r="A558" s="14" t="n"/>
      <c r="B558" s="7" t="n"/>
      <c r="C558" s="15" t="n"/>
      <c r="D558" s="15" t="n"/>
      <c r="E558" s="7" t="n"/>
      <c r="F558" s="12">
        <f>IF(OR(C558="",D558=""),"",ROUND(MOD(D558-C558,1)*24,2))</f>
        <v/>
      </c>
      <c r="G558" s="7" t="n"/>
      <c r="H558" s="17">
        <f>IF(OR(A558="",B558=""),"",IF(COUNTIFS('Lançamentos Diários'!$A$5:$A$504,A558,'Lançamentos Diários'!$B$5:$B$504,B558)&gt;0,"OK","FALTA LANÇAMENTO"))</f>
        <v/>
      </c>
    </row>
    <row r="559">
      <c r="A559" s="14" t="n"/>
      <c r="B559" s="7" t="n"/>
      <c r="C559" s="15" t="n"/>
      <c r="D559" s="15" t="n"/>
      <c r="E559" s="7" t="n"/>
      <c r="F559" s="12">
        <f>IF(OR(C559="",D559=""),"",ROUND(MOD(D559-C559,1)*24,2))</f>
        <v/>
      </c>
      <c r="G559" s="7" t="n"/>
      <c r="H559" s="17">
        <f>IF(OR(A559="",B559=""),"",IF(COUNTIFS('Lançamentos Diários'!$A$5:$A$504,A559,'Lançamentos Diários'!$B$5:$B$504,B559)&gt;0,"OK","FALTA LANÇAMENTO"))</f>
        <v/>
      </c>
    </row>
    <row r="560">
      <c r="A560" s="14" t="n"/>
      <c r="B560" s="7" t="n"/>
      <c r="C560" s="15" t="n"/>
      <c r="D560" s="15" t="n"/>
      <c r="E560" s="7" t="n"/>
      <c r="F560" s="12">
        <f>IF(OR(C560="",D560=""),"",ROUND(MOD(D560-C560,1)*24,2))</f>
        <v/>
      </c>
      <c r="G560" s="7" t="n"/>
      <c r="H560" s="17">
        <f>IF(OR(A560="",B560=""),"",IF(COUNTIFS('Lançamentos Diários'!$A$5:$A$504,A560,'Lançamentos Diários'!$B$5:$B$504,B560)&gt;0,"OK","FALTA LANÇAMENTO"))</f>
        <v/>
      </c>
    </row>
    <row r="561">
      <c r="A561" s="14" t="n"/>
      <c r="B561" s="7" t="n"/>
      <c r="C561" s="15" t="n"/>
      <c r="D561" s="15" t="n"/>
      <c r="E561" s="7" t="n"/>
      <c r="F561" s="12">
        <f>IF(OR(C561="",D561=""),"",ROUND(MOD(D561-C561,1)*24,2))</f>
        <v/>
      </c>
      <c r="G561" s="7" t="n"/>
      <c r="H561" s="17">
        <f>IF(OR(A561="",B561=""),"",IF(COUNTIFS('Lançamentos Diários'!$A$5:$A$504,A561,'Lançamentos Diários'!$B$5:$B$504,B561)&gt;0,"OK","FALTA LANÇAMENTO"))</f>
        <v/>
      </c>
    </row>
    <row r="562">
      <c r="A562" s="14" t="n"/>
      <c r="B562" s="7" t="n"/>
      <c r="C562" s="15" t="n"/>
      <c r="D562" s="15" t="n"/>
      <c r="E562" s="7" t="n"/>
      <c r="F562" s="12">
        <f>IF(OR(C562="",D562=""),"",ROUND(MOD(D562-C562,1)*24,2))</f>
        <v/>
      </c>
      <c r="G562" s="7" t="n"/>
      <c r="H562" s="17">
        <f>IF(OR(A562="",B562=""),"",IF(COUNTIFS('Lançamentos Diários'!$A$5:$A$504,A562,'Lançamentos Diários'!$B$5:$B$504,B562)&gt;0,"OK","FALTA LANÇAMENTO"))</f>
        <v/>
      </c>
    </row>
    <row r="563">
      <c r="A563" s="14" t="n"/>
      <c r="B563" s="7" t="n"/>
      <c r="C563" s="15" t="n"/>
      <c r="D563" s="15" t="n"/>
      <c r="E563" s="7" t="n"/>
      <c r="F563" s="12">
        <f>IF(OR(C563="",D563=""),"",ROUND(MOD(D563-C563,1)*24,2))</f>
        <v/>
      </c>
      <c r="G563" s="7" t="n"/>
      <c r="H563" s="17">
        <f>IF(OR(A563="",B563=""),"",IF(COUNTIFS('Lançamentos Diários'!$A$5:$A$504,A563,'Lançamentos Diários'!$B$5:$B$504,B563)&gt;0,"OK","FALTA LANÇAMENTO"))</f>
        <v/>
      </c>
    </row>
    <row r="564">
      <c r="A564" s="14" t="n"/>
      <c r="B564" s="7" t="n"/>
      <c r="C564" s="15" t="n"/>
      <c r="D564" s="15" t="n"/>
      <c r="E564" s="7" t="n"/>
      <c r="F564" s="12">
        <f>IF(OR(C564="",D564=""),"",ROUND(MOD(D564-C564,1)*24,2))</f>
        <v/>
      </c>
      <c r="G564" s="7" t="n"/>
      <c r="H564" s="17">
        <f>IF(OR(A564="",B564=""),"",IF(COUNTIFS('Lançamentos Diários'!$A$5:$A$504,A564,'Lançamentos Diários'!$B$5:$B$504,B564)&gt;0,"OK","FALTA LANÇAMENTO"))</f>
        <v/>
      </c>
    </row>
    <row r="565">
      <c r="A565" s="14" t="n"/>
      <c r="B565" s="7" t="n"/>
      <c r="C565" s="15" t="n"/>
      <c r="D565" s="15" t="n"/>
      <c r="E565" s="7" t="n"/>
      <c r="F565" s="12">
        <f>IF(OR(C565="",D565=""),"",ROUND(MOD(D565-C565,1)*24,2))</f>
        <v/>
      </c>
      <c r="G565" s="7" t="n"/>
      <c r="H565" s="17">
        <f>IF(OR(A565="",B565=""),"",IF(COUNTIFS('Lançamentos Diários'!$A$5:$A$504,A565,'Lançamentos Diários'!$B$5:$B$504,B565)&gt;0,"OK","FALTA LANÇAMENTO"))</f>
        <v/>
      </c>
    </row>
    <row r="566">
      <c r="A566" s="14" t="n"/>
      <c r="B566" s="7" t="n"/>
      <c r="C566" s="15" t="n"/>
      <c r="D566" s="15" t="n"/>
      <c r="E566" s="7" t="n"/>
      <c r="F566" s="12">
        <f>IF(OR(C566="",D566=""),"",ROUND(MOD(D566-C566,1)*24,2))</f>
        <v/>
      </c>
      <c r="G566" s="7" t="n"/>
      <c r="H566" s="17">
        <f>IF(OR(A566="",B566=""),"",IF(COUNTIFS('Lançamentos Diários'!$A$5:$A$504,A566,'Lançamentos Diários'!$B$5:$B$504,B566)&gt;0,"OK","FALTA LANÇAMENTO"))</f>
        <v/>
      </c>
    </row>
    <row r="567">
      <c r="A567" s="14" t="n"/>
      <c r="B567" s="7" t="n"/>
      <c r="C567" s="15" t="n"/>
      <c r="D567" s="15" t="n"/>
      <c r="E567" s="7" t="n"/>
      <c r="F567" s="12">
        <f>IF(OR(C567="",D567=""),"",ROUND(MOD(D567-C567,1)*24,2))</f>
        <v/>
      </c>
      <c r="G567" s="7" t="n"/>
      <c r="H567" s="17">
        <f>IF(OR(A567="",B567=""),"",IF(COUNTIFS('Lançamentos Diários'!$A$5:$A$504,A567,'Lançamentos Diários'!$B$5:$B$504,B567)&gt;0,"OK","FALTA LANÇAMENTO"))</f>
        <v/>
      </c>
    </row>
    <row r="568">
      <c r="A568" s="14" t="n"/>
      <c r="B568" s="7" t="n"/>
      <c r="C568" s="15" t="n"/>
      <c r="D568" s="15" t="n"/>
      <c r="E568" s="7" t="n"/>
      <c r="F568" s="12">
        <f>IF(OR(C568="",D568=""),"",ROUND(MOD(D568-C568,1)*24,2))</f>
        <v/>
      </c>
      <c r="G568" s="7" t="n"/>
      <c r="H568" s="17">
        <f>IF(OR(A568="",B568=""),"",IF(COUNTIFS('Lançamentos Diários'!$A$5:$A$504,A568,'Lançamentos Diários'!$B$5:$B$504,B568)&gt;0,"OK","FALTA LANÇAMENTO"))</f>
        <v/>
      </c>
    </row>
    <row r="569">
      <c r="A569" s="14" t="n"/>
      <c r="B569" s="7" t="n"/>
      <c r="C569" s="15" t="n"/>
      <c r="D569" s="15" t="n"/>
      <c r="E569" s="7" t="n"/>
      <c r="F569" s="12">
        <f>IF(OR(C569="",D569=""),"",ROUND(MOD(D569-C569,1)*24,2))</f>
        <v/>
      </c>
      <c r="G569" s="7" t="n"/>
      <c r="H569" s="17">
        <f>IF(OR(A569="",B569=""),"",IF(COUNTIFS('Lançamentos Diários'!$A$5:$A$504,A569,'Lançamentos Diários'!$B$5:$B$504,B569)&gt;0,"OK","FALTA LANÇAMENTO"))</f>
        <v/>
      </c>
    </row>
    <row r="570">
      <c r="A570" s="14" t="n"/>
      <c r="B570" s="7" t="n"/>
      <c r="C570" s="15" t="n"/>
      <c r="D570" s="15" t="n"/>
      <c r="E570" s="7" t="n"/>
      <c r="F570" s="12">
        <f>IF(OR(C570="",D570=""),"",ROUND(MOD(D570-C570,1)*24,2))</f>
        <v/>
      </c>
      <c r="G570" s="7" t="n"/>
      <c r="H570" s="17">
        <f>IF(OR(A570="",B570=""),"",IF(COUNTIFS('Lançamentos Diários'!$A$5:$A$504,A570,'Lançamentos Diários'!$B$5:$B$504,B570)&gt;0,"OK","FALTA LANÇAMENTO"))</f>
        <v/>
      </c>
    </row>
    <row r="571">
      <c r="A571" s="14" t="n"/>
      <c r="B571" s="7" t="n"/>
      <c r="C571" s="15" t="n"/>
      <c r="D571" s="15" t="n"/>
      <c r="E571" s="7" t="n"/>
      <c r="F571" s="12">
        <f>IF(OR(C571="",D571=""),"",ROUND(MOD(D571-C571,1)*24,2))</f>
        <v/>
      </c>
      <c r="G571" s="7" t="n"/>
      <c r="H571" s="17">
        <f>IF(OR(A571="",B571=""),"",IF(COUNTIFS('Lançamentos Diários'!$A$5:$A$504,A571,'Lançamentos Diários'!$B$5:$B$504,B571)&gt;0,"OK","FALTA LANÇAMENTO"))</f>
        <v/>
      </c>
    </row>
    <row r="572">
      <c r="A572" s="14" t="n"/>
      <c r="B572" s="7" t="n"/>
      <c r="C572" s="15" t="n"/>
      <c r="D572" s="15" t="n"/>
      <c r="E572" s="7" t="n"/>
      <c r="F572" s="12">
        <f>IF(OR(C572="",D572=""),"",ROUND(MOD(D572-C572,1)*24,2))</f>
        <v/>
      </c>
      <c r="G572" s="7" t="n"/>
      <c r="H572" s="17">
        <f>IF(OR(A572="",B572=""),"",IF(COUNTIFS('Lançamentos Diários'!$A$5:$A$504,A572,'Lançamentos Diários'!$B$5:$B$504,B572)&gt;0,"OK","FALTA LANÇAMENTO"))</f>
        <v/>
      </c>
    </row>
    <row r="573">
      <c r="A573" s="14" t="n"/>
      <c r="B573" s="7" t="n"/>
      <c r="C573" s="15" t="n"/>
      <c r="D573" s="15" t="n"/>
      <c r="E573" s="7" t="n"/>
      <c r="F573" s="12">
        <f>IF(OR(C573="",D573=""),"",ROUND(MOD(D573-C573,1)*24,2))</f>
        <v/>
      </c>
      <c r="G573" s="7" t="n"/>
      <c r="H573" s="17">
        <f>IF(OR(A573="",B573=""),"",IF(COUNTIFS('Lançamentos Diários'!$A$5:$A$504,A573,'Lançamentos Diários'!$B$5:$B$504,B573)&gt;0,"OK","FALTA LANÇAMENTO"))</f>
        <v/>
      </c>
    </row>
    <row r="574">
      <c r="A574" s="14" t="n"/>
      <c r="B574" s="7" t="n"/>
      <c r="C574" s="15" t="n"/>
      <c r="D574" s="15" t="n"/>
      <c r="E574" s="7" t="n"/>
      <c r="F574" s="12">
        <f>IF(OR(C574="",D574=""),"",ROUND(MOD(D574-C574,1)*24,2))</f>
        <v/>
      </c>
      <c r="G574" s="7" t="n"/>
      <c r="H574" s="17">
        <f>IF(OR(A574="",B574=""),"",IF(COUNTIFS('Lançamentos Diários'!$A$5:$A$504,A574,'Lançamentos Diários'!$B$5:$B$504,B574)&gt;0,"OK","FALTA LANÇAMENTO"))</f>
        <v/>
      </c>
    </row>
    <row r="575">
      <c r="A575" s="14" t="n"/>
      <c r="B575" s="7" t="n"/>
      <c r="C575" s="15" t="n"/>
      <c r="D575" s="15" t="n"/>
      <c r="E575" s="7" t="n"/>
      <c r="F575" s="12">
        <f>IF(OR(C575="",D575=""),"",ROUND(MOD(D575-C575,1)*24,2))</f>
        <v/>
      </c>
      <c r="G575" s="7" t="n"/>
      <c r="H575" s="17">
        <f>IF(OR(A575="",B575=""),"",IF(COUNTIFS('Lançamentos Diários'!$A$5:$A$504,A575,'Lançamentos Diários'!$B$5:$B$504,B575)&gt;0,"OK","FALTA LANÇAMENTO"))</f>
        <v/>
      </c>
    </row>
    <row r="576">
      <c r="A576" s="14" t="n"/>
      <c r="B576" s="7" t="n"/>
      <c r="C576" s="15" t="n"/>
      <c r="D576" s="15" t="n"/>
      <c r="E576" s="7" t="n"/>
      <c r="F576" s="12">
        <f>IF(OR(C576="",D576=""),"",ROUND(MOD(D576-C576,1)*24,2))</f>
        <v/>
      </c>
      <c r="G576" s="7" t="n"/>
      <c r="H576" s="17">
        <f>IF(OR(A576="",B576=""),"",IF(COUNTIFS('Lançamentos Diários'!$A$5:$A$504,A576,'Lançamentos Diários'!$B$5:$B$504,B576)&gt;0,"OK","FALTA LANÇAMENTO"))</f>
        <v/>
      </c>
    </row>
    <row r="577">
      <c r="A577" s="14" t="n"/>
      <c r="B577" s="7" t="n"/>
      <c r="C577" s="15" t="n"/>
      <c r="D577" s="15" t="n"/>
      <c r="E577" s="7" t="n"/>
      <c r="F577" s="12">
        <f>IF(OR(C577="",D577=""),"",ROUND(MOD(D577-C577,1)*24,2))</f>
        <v/>
      </c>
      <c r="G577" s="7" t="n"/>
      <c r="H577" s="17">
        <f>IF(OR(A577="",B577=""),"",IF(COUNTIFS('Lançamentos Diários'!$A$5:$A$504,A577,'Lançamentos Diários'!$B$5:$B$504,B577)&gt;0,"OK","FALTA LANÇAMENTO"))</f>
        <v/>
      </c>
    </row>
    <row r="578">
      <c r="A578" s="14" t="n"/>
      <c r="B578" s="7" t="n"/>
      <c r="C578" s="15" t="n"/>
      <c r="D578" s="15" t="n"/>
      <c r="E578" s="7" t="n"/>
      <c r="F578" s="12">
        <f>IF(OR(C578="",D578=""),"",ROUND(MOD(D578-C578,1)*24,2))</f>
        <v/>
      </c>
      <c r="G578" s="7" t="n"/>
      <c r="H578" s="17">
        <f>IF(OR(A578="",B578=""),"",IF(COUNTIFS('Lançamentos Diários'!$A$5:$A$504,A578,'Lançamentos Diários'!$B$5:$B$504,B578)&gt;0,"OK","FALTA LANÇAMENTO"))</f>
        <v/>
      </c>
    </row>
    <row r="579">
      <c r="A579" s="14" t="n"/>
      <c r="B579" s="7" t="n"/>
      <c r="C579" s="15" t="n"/>
      <c r="D579" s="15" t="n"/>
      <c r="E579" s="7" t="n"/>
      <c r="F579" s="12">
        <f>IF(OR(C579="",D579=""),"",ROUND(MOD(D579-C579,1)*24,2))</f>
        <v/>
      </c>
      <c r="G579" s="7" t="n"/>
      <c r="H579" s="17">
        <f>IF(OR(A579="",B579=""),"",IF(COUNTIFS('Lançamentos Diários'!$A$5:$A$504,A579,'Lançamentos Diários'!$B$5:$B$504,B579)&gt;0,"OK","FALTA LANÇAMENTO"))</f>
        <v/>
      </c>
    </row>
    <row r="580">
      <c r="A580" s="14" t="n"/>
      <c r="B580" s="7" t="n"/>
      <c r="C580" s="15" t="n"/>
      <c r="D580" s="15" t="n"/>
      <c r="E580" s="7" t="n"/>
      <c r="F580" s="12">
        <f>IF(OR(C580="",D580=""),"",ROUND(MOD(D580-C580,1)*24,2))</f>
        <v/>
      </c>
      <c r="G580" s="7" t="n"/>
      <c r="H580" s="17">
        <f>IF(OR(A580="",B580=""),"",IF(COUNTIFS('Lançamentos Diários'!$A$5:$A$504,A580,'Lançamentos Diários'!$B$5:$B$504,B580)&gt;0,"OK","FALTA LANÇAMENTO"))</f>
        <v/>
      </c>
    </row>
    <row r="581">
      <c r="A581" s="14" t="n"/>
      <c r="B581" s="7" t="n"/>
      <c r="C581" s="15" t="n"/>
      <c r="D581" s="15" t="n"/>
      <c r="E581" s="7" t="n"/>
      <c r="F581" s="12">
        <f>IF(OR(C581="",D581=""),"",ROUND(MOD(D581-C581,1)*24,2))</f>
        <v/>
      </c>
      <c r="G581" s="7" t="n"/>
      <c r="H581" s="17">
        <f>IF(OR(A581="",B581=""),"",IF(COUNTIFS('Lançamentos Diários'!$A$5:$A$504,A581,'Lançamentos Diários'!$B$5:$B$504,B581)&gt;0,"OK","FALTA LANÇAMENTO"))</f>
        <v/>
      </c>
    </row>
    <row r="582">
      <c r="A582" s="14" t="n"/>
      <c r="B582" s="7" t="n"/>
      <c r="C582" s="15" t="n"/>
      <c r="D582" s="15" t="n"/>
      <c r="E582" s="7" t="n"/>
      <c r="F582" s="12">
        <f>IF(OR(C582="",D582=""),"",ROUND(MOD(D582-C582,1)*24,2))</f>
        <v/>
      </c>
      <c r="G582" s="7" t="n"/>
      <c r="H582" s="17">
        <f>IF(OR(A582="",B582=""),"",IF(COUNTIFS('Lançamentos Diários'!$A$5:$A$504,A582,'Lançamentos Diários'!$B$5:$B$504,B582)&gt;0,"OK","FALTA LANÇAMENTO"))</f>
        <v/>
      </c>
    </row>
    <row r="583">
      <c r="A583" s="14" t="n"/>
      <c r="B583" s="7" t="n"/>
      <c r="C583" s="15" t="n"/>
      <c r="D583" s="15" t="n"/>
      <c r="E583" s="7" t="n"/>
      <c r="F583" s="12">
        <f>IF(OR(C583="",D583=""),"",ROUND(MOD(D583-C583,1)*24,2))</f>
        <v/>
      </c>
      <c r="G583" s="7" t="n"/>
      <c r="H583" s="17">
        <f>IF(OR(A583="",B583=""),"",IF(COUNTIFS('Lançamentos Diários'!$A$5:$A$504,A583,'Lançamentos Diários'!$B$5:$B$504,B583)&gt;0,"OK","FALTA LANÇAMENTO"))</f>
        <v/>
      </c>
    </row>
    <row r="584">
      <c r="A584" s="14" t="n"/>
      <c r="B584" s="7" t="n"/>
      <c r="C584" s="15" t="n"/>
      <c r="D584" s="15" t="n"/>
      <c r="E584" s="7" t="n"/>
      <c r="F584" s="12">
        <f>IF(OR(C584="",D584=""),"",ROUND(MOD(D584-C584,1)*24,2))</f>
        <v/>
      </c>
      <c r="G584" s="7" t="n"/>
      <c r="H584" s="17">
        <f>IF(OR(A584="",B584=""),"",IF(COUNTIFS('Lançamentos Diários'!$A$5:$A$504,A584,'Lançamentos Diários'!$B$5:$B$504,B584)&gt;0,"OK","FALTA LANÇAMENTO"))</f>
        <v/>
      </c>
    </row>
    <row r="585">
      <c r="A585" s="14" t="n"/>
      <c r="B585" s="7" t="n"/>
      <c r="C585" s="15" t="n"/>
      <c r="D585" s="15" t="n"/>
      <c r="E585" s="7" t="n"/>
      <c r="F585" s="12">
        <f>IF(OR(C585="",D585=""),"",ROUND(MOD(D585-C585,1)*24,2))</f>
        <v/>
      </c>
      <c r="G585" s="7" t="n"/>
      <c r="H585" s="17">
        <f>IF(OR(A585="",B585=""),"",IF(COUNTIFS('Lançamentos Diários'!$A$5:$A$504,A585,'Lançamentos Diários'!$B$5:$B$504,B585)&gt;0,"OK","FALTA LANÇAMENTO"))</f>
        <v/>
      </c>
    </row>
    <row r="586">
      <c r="A586" s="14" t="n"/>
      <c r="B586" s="7" t="n"/>
      <c r="C586" s="15" t="n"/>
      <c r="D586" s="15" t="n"/>
      <c r="E586" s="7" t="n"/>
      <c r="F586" s="12">
        <f>IF(OR(C586="",D586=""),"",ROUND(MOD(D586-C586,1)*24,2))</f>
        <v/>
      </c>
      <c r="G586" s="7" t="n"/>
      <c r="H586" s="17">
        <f>IF(OR(A586="",B586=""),"",IF(COUNTIFS('Lançamentos Diários'!$A$5:$A$504,A586,'Lançamentos Diários'!$B$5:$B$504,B586)&gt;0,"OK","FALTA LANÇAMENTO"))</f>
        <v/>
      </c>
    </row>
    <row r="587">
      <c r="A587" s="14" t="n"/>
      <c r="B587" s="7" t="n"/>
      <c r="C587" s="15" t="n"/>
      <c r="D587" s="15" t="n"/>
      <c r="E587" s="7" t="n"/>
      <c r="F587" s="12">
        <f>IF(OR(C587="",D587=""),"",ROUND(MOD(D587-C587,1)*24,2))</f>
        <v/>
      </c>
      <c r="G587" s="7" t="n"/>
      <c r="H587" s="17">
        <f>IF(OR(A587="",B587=""),"",IF(COUNTIFS('Lançamentos Diários'!$A$5:$A$504,A587,'Lançamentos Diários'!$B$5:$B$504,B587)&gt;0,"OK","FALTA LANÇAMENTO"))</f>
        <v/>
      </c>
    </row>
    <row r="588">
      <c r="A588" s="14" t="n"/>
      <c r="B588" s="7" t="n"/>
      <c r="C588" s="15" t="n"/>
      <c r="D588" s="15" t="n"/>
      <c r="E588" s="7" t="n"/>
      <c r="F588" s="12">
        <f>IF(OR(C588="",D588=""),"",ROUND(MOD(D588-C588,1)*24,2))</f>
        <v/>
      </c>
      <c r="G588" s="7" t="n"/>
      <c r="H588" s="17">
        <f>IF(OR(A588="",B588=""),"",IF(COUNTIFS('Lançamentos Diários'!$A$5:$A$504,A588,'Lançamentos Diários'!$B$5:$B$504,B588)&gt;0,"OK","FALTA LANÇAMENTO"))</f>
        <v/>
      </c>
    </row>
    <row r="589">
      <c r="A589" s="14" t="n"/>
      <c r="B589" s="7" t="n"/>
      <c r="C589" s="15" t="n"/>
      <c r="D589" s="15" t="n"/>
      <c r="E589" s="7" t="n"/>
      <c r="F589" s="12">
        <f>IF(OR(C589="",D589=""),"",ROUND(MOD(D589-C589,1)*24,2))</f>
        <v/>
      </c>
      <c r="G589" s="7" t="n"/>
      <c r="H589" s="17">
        <f>IF(OR(A589="",B589=""),"",IF(COUNTIFS('Lançamentos Diários'!$A$5:$A$504,A589,'Lançamentos Diários'!$B$5:$B$504,B589)&gt;0,"OK","FALTA LANÇAMENTO"))</f>
        <v/>
      </c>
    </row>
    <row r="590">
      <c r="A590" s="14" t="n"/>
      <c r="B590" s="7" t="n"/>
      <c r="C590" s="15" t="n"/>
      <c r="D590" s="15" t="n"/>
      <c r="E590" s="7" t="n"/>
      <c r="F590" s="12">
        <f>IF(OR(C590="",D590=""),"",ROUND(MOD(D590-C590,1)*24,2))</f>
        <v/>
      </c>
      <c r="G590" s="7" t="n"/>
      <c r="H590" s="17">
        <f>IF(OR(A590="",B590=""),"",IF(COUNTIFS('Lançamentos Diários'!$A$5:$A$504,A590,'Lançamentos Diários'!$B$5:$B$504,B590)&gt;0,"OK","FALTA LANÇAMENTO"))</f>
        <v/>
      </c>
    </row>
    <row r="591">
      <c r="A591" s="14" t="n"/>
      <c r="B591" s="7" t="n"/>
      <c r="C591" s="15" t="n"/>
      <c r="D591" s="15" t="n"/>
      <c r="E591" s="7" t="n"/>
      <c r="F591" s="12">
        <f>IF(OR(C591="",D591=""),"",ROUND(MOD(D591-C591,1)*24,2))</f>
        <v/>
      </c>
      <c r="G591" s="7" t="n"/>
      <c r="H591" s="17">
        <f>IF(OR(A591="",B591=""),"",IF(COUNTIFS('Lançamentos Diários'!$A$5:$A$504,A591,'Lançamentos Diários'!$B$5:$B$504,B591)&gt;0,"OK","FALTA LANÇAMENTO"))</f>
        <v/>
      </c>
    </row>
    <row r="592">
      <c r="A592" s="14" t="n"/>
      <c r="B592" s="7" t="n"/>
      <c r="C592" s="15" t="n"/>
      <c r="D592" s="15" t="n"/>
      <c r="E592" s="7" t="n"/>
      <c r="F592" s="12">
        <f>IF(OR(C592="",D592=""),"",ROUND(MOD(D592-C592,1)*24,2))</f>
        <v/>
      </c>
      <c r="G592" s="7" t="n"/>
      <c r="H592" s="17">
        <f>IF(OR(A592="",B592=""),"",IF(COUNTIFS('Lançamentos Diários'!$A$5:$A$504,A592,'Lançamentos Diários'!$B$5:$B$504,B592)&gt;0,"OK","FALTA LANÇAMENTO"))</f>
        <v/>
      </c>
    </row>
    <row r="593">
      <c r="A593" s="14" t="n"/>
      <c r="B593" s="7" t="n"/>
      <c r="C593" s="15" t="n"/>
      <c r="D593" s="15" t="n"/>
      <c r="E593" s="7" t="n"/>
      <c r="F593" s="12">
        <f>IF(OR(C593="",D593=""),"",ROUND(MOD(D593-C593,1)*24,2))</f>
        <v/>
      </c>
      <c r="G593" s="7" t="n"/>
      <c r="H593" s="17">
        <f>IF(OR(A593="",B593=""),"",IF(COUNTIFS('Lançamentos Diários'!$A$5:$A$504,A593,'Lançamentos Diários'!$B$5:$B$504,B593)&gt;0,"OK","FALTA LANÇAMENTO"))</f>
        <v/>
      </c>
    </row>
    <row r="594">
      <c r="A594" s="14" t="n"/>
      <c r="B594" s="7" t="n"/>
      <c r="C594" s="15" t="n"/>
      <c r="D594" s="15" t="n"/>
      <c r="E594" s="7" t="n"/>
      <c r="F594" s="12">
        <f>IF(OR(C594="",D594=""),"",ROUND(MOD(D594-C594,1)*24,2))</f>
        <v/>
      </c>
      <c r="G594" s="7" t="n"/>
      <c r="H594" s="17">
        <f>IF(OR(A594="",B594=""),"",IF(COUNTIFS('Lançamentos Diários'!$A$5:$A$504,A594,'Lançamentos Diários'!$B$5:$B$504,B594)&gt;0,"OK","FALTA LANÇAMENTO"))</f>
        <v/>
      </c>
    </row>
    <row r="595">
      <c r="A595" s="14" t="n"/>
      <c r="B595" s="7" t="n"/>
      <c r="C595" s="15" t="n"/>
      <c r="D595" s="15" t="n"/>
      <c r="E595" s="7" t="n"/>
      <c r="F595" s="12">
        <f>IF(OR(C595="",D595=""),"",ROUND(MOD(D595-C595,1)*24,2))</f>
        <v/>
      </c>
      <c r="G595" s="7" t="n"/>
      <c r="H595" s="17">
        <f>IF(OR(A595="",B595=""),"",IF(COUNTIFS('Lançamentos Diários'!$A$5:$A$504,A595,'Lançamentos Diários'!$B$5:$B$504,B595)&gt;0,"OK","FALTA LANÇAMENTO"))</f>
        <v/>
      </c>
    </row>
    <row r="596">
      <c r="A596" s="14" t="n"/>
      <c r="B596" s="7" t="n"/>
      <c r="C596" s="15" t="n"/>
      <c r="D596" s="15" t="n"/>
      <c r="E596" s="7" t="n"/>
      <c r="F596" s="12">
        <f>IF(OR(C596="",D596=""),"",ROUND(MOD(D596-C596,1)*24,2))</f>
        <v/>
      </c>
      <c r="G596" s="7" t="n"/>
      <c r="H596" s="17">
        <f>IF(OR(A596="",B596=""),"",IF(COUNTIFS('Lançamentos Diários'!$A$5:$A$504,A596,'Lançamentos Diários'!$B$5:$B$504,B596)&gt;0,"OK","FALTA LANÇAMENTO"))</f>
        <v/>
      </c>
    </row>
    <row r="597">
      <c r="A597" s="14" t="n"/>
      <c r="B597" s="7" t="n"/>
      <c r="C597" s="15" t="n"/>
      <c r="D597" s="15" t="n"/>
      <c r="E597" s="7" t="n"/>
      <c r="F597" s="12">
        <f>IF(OR(C597="",D597=""),"",ROUND(MOD(D597-C597,1)*24,2))</f>
        <v/>
      </c>
      <c r="G597" s="7" t="n"/>
      <c r="H597" s="17">
        <f>IF(OR(A597="",B597=""),"",IF(COUNTIFS('Lançamentos Diários'!$A$5:$A$504,A597,'Lançamentos Diários'!$B$5:$B$504,B597)&gt;0,"OK","FALTA LANÇAMENTO"))</f>
        <v/>
      </c>
    </row>
    <row r="598">
      <c r="A598" s="14" t="n"/>
      <c r="B598" s="7" t="n"/>
      <c r="C598" s="15" t="n"/>
      <c r="D598" s="15" t="n"/>
      <c r="E598" s="7" t="n"/>
      <c r="F598" s="12">
        <f>IF(OR(C598="",D598=""),"",ROUND(MOD(D598-C598,1)*24,2))</f>
        <v/>
      </c>
      <c r="G598" s="7" t="n"/>
      <c r="H598" s="17">
        <f>IF(OR(A598="",B598=""),"",IF(COUNTIFS('Lançamentos Diários'!$A$5:$A$504,A598,'Lançamentos Diários'!$B$5:$B$504,B598)&gt;0,"OK","FALTA LANÇAMENTO"))</f>
        <v/>
      </c>
    </row>
    <row r="599">
      <c r="A599" s="14" t="n"/>
      <c r="B599" s="7" t="n"/>
      <c r="C599" s="15" t="n"/>
      <c r="D599" s="15" t="n"/>
      <c r="E599" s="7" t="n"/>
      <c r="F599" s="12">
        <f>IF(OR(C599="",D599=""),"",ROUND(MOD(D599-C599,1)*24,2))</f>
        <v/>
      </c>
      <c r="G599" s="7" t="n"/>
      <c r="H599" s="17">
        <f>IF(OR(A599="",B599=""),"",IF(COUNTIFS('Lançamentos Diários'!$A$5:$A$504,A599,'Lançamentos Diários'!$B$5:$B$504,B599)&gt;0,"OK","FALTA LANÇAMENTO"))</f>
        <v/>
      </c>
    </row>
    <row r="600">
      <c r="A600" s="14" t="n"/>
      <c r="B600" s="7" t="n"/>
      <c r="C600" s="15" t="n"/>
      <c r="D600" s="15" t="n"/>
      <c r="E600" s="7" t="n"/>
      <c r="F600" s="12">
        <f>IF(OR(C600="",D600=""),"",ROUND(MOD(D600-C600,1)*24,2))</f>
        <v/>
      </c>
      <c r="G600" s="7" t="n"/>
      <c r="H600" s="17">
        <f>IF(OR(A600="",B600=""),"",IF(COUNTIFS('Lançamentos Diários'!$A$5:$A$504,A600,'Lançamentos Diários'!$B$5:$B$504,B600)&gt;0,"OK","FALTA LANÇAMENTO"))</f>
        <v/>
      </c>
    </row>
    <row r="601">
      <c r="A601" s="14" t="n"/>
      <c r="B601" s="7" t="n"/>
      <c r="C601" s="15" t="n"/>
      <c r="D601" s="15" t="n"/>
      <c r="E601" s="7" t="n"/>
      <c r="F601" s="12">
        <f>IF(OR(C601="",D601=""),"",ROUND(MOD(D601-C601,1)*24,2))</f>
        <v/>
      </c>
      <c r="G601" s="7" t="n"/>
      <c r="H601" s="17">
        <f>IF(OR(A601="",B601=""),"",IF(COUNTIFS('Lançamentos Diários'!$A$5:$A$504,A601,'Lançamentos Diários'!$B$5:$B$504,B601)&gt;0,"OK","FALTA LANÇAMENTO"))</f>
        <v/>
      </c>
    </row>
    <row r="602">
      <c r="A602" s="14" t="n"/>
      <c r="B602" s="7" t="n"/>
      <c r="C602" s="15" t="n"/>
      <c r="D602" s="15" t="n"/>
      <c r="E602" s="7" t="n"/>
      <c r="F602" s="12">
        <f>IF(OR(C602="",D602=""),"",ROUND(MOD(D602-C602,1)*24,2))</f>
        <v/>
      </c>
      <c r="G602" s="7" t="n"/>
      <c r="H602" s="17">
        <f>IF(OR(A602="",B602=""),"",IF(COUNTIFS('Lançamentos Diários'!$A$5:$A$504,A602,'Lançamentos Diários'!$B$5:$B$504,B602)&gt;0,"OK","FALTA LANÇAMENTO"))</f>
        <v/>
      </c>
    </row>
    <row r="603">
      <c r="A603" s="14" t="n"/>
      <c r="B603" s="7" t="n"/>
      <c r="C603" s="15" t="n"/>
      <c r="D603" s="15" t="n"/>
      <c r="E603" s="7" t="n"/>
      <c r="F603" s="12">
        <f>IF(OR(C603="",D603=""),"",ROUND(MOD(D603-C603,1)*24,2))</f>
        <v/>
      </c>
      <c r="G603" s="7" t="n"/>
      <c r="H603" s="17">
        <f>IF(OR(A603="",B603=""),"",IF(COUNTIFS('Lançamentos Diários'!$A$5:$A$504,A603,'Lançamentos Diários'!$B$5:$B$504,B603)&gt;0,"OK","FALTA LANÇAMENTO"))</f>
        <v/>
      </c>
    </row>
    <row r="604">
      <c r="A604" s="14" t="n"/>
      <c r="B604" s="7" t="n"/>
      <c r="C604" s="15" t="n"/>
      <c r="D604" s="15" t="n"/>
      <c r="E604" s="7" t="n"/>
      <c r="F604" s="12">
        <f>IF(OR(C604="",D604=""),"",ROUND(MOD(D604-C604,1)*24,2))</f>
        <v/>
      </c>
      <c r="G604" s="7" t="n"/>
      <c r="H604" s="17">
        <f>IF(OR(A604="",B604=""),"",IF(COUNTIFS('Lançamentos Diários'!$A$5:$A$504,A604,'Lançamentos Diários'!$B$5:$B$504,B604)&gt;0,"OK","FALTA LANÇAMENTO"))</f>
        <v/>
      </c>
    </row>
    <row r="605">
      <c r="A605" s="14" t="n"/>
      <c r="B605" s="7" t="n"/>
      <c r="C605" s="15" t="n"/>
      <c r="D605" s="15" t="n"/>
      <c r="E605" s="7" t="n"/>
      <c r="F605" s="12">
        <f>IF(OR(C605="",D605=""),"",ROUND(MOD(D605-C605,1)*24,2))</f>
        <v/>
      </c>
      <c r="G605" s="7" t="n"/>
      <c r="H605" s="17">
        <f>IF(OR(A605="",B605=""),"",IF(COUNTIFS('Lançamentos Diários'!$A$5:$A$504,A605,'Lançamentos Diários'!$B$5:$B$504,B605)&gt;0,"OK","FALTA LANÇAMENTO"))</f>
        <v/>
      </c>
    </row>
    <row r="606">
      <c r="A606" s="14" t="n"/>
      <c r="B606" s="7" t="n"/>
      <c r="C606" s="15" t="n"/>
      <c r="D606" s="15" t="n"/>
      <c r="E606" s="7" t="n"/>
      <c r="F606" s="12">
        <f>IF(OR(C606="",D606=""),"",ROUND(MOD(D606-C606,1)*24,2))</f>
        <v/>
      </c>
      <c r="G606" s="7" t="n"/>
      <c r="H606" s="17">
        <f>IF(OR(A606="",B606=""),"",IF(COUNTIFS('Lançamentos Diários'!$A$5:$A$504,A606,'Lançamentos Diários'!$B$5:$B$504,B606)&gt;0,"OK","FALTA LANÇAMENTO"))</f>
        <v/>
      </c>
    </row>
    <row r="607">
      <c r="A607" s="14" t="n"/>
      <c r="B607" s="7" t="n"/>
      <c r="C607" s="15" t="n"/>
      <c r="D607" s="15" t="n"/>
      <c r="E607" s="7" t="n"/>
      <c r="F607" s="12">
        <f>IF(OR(C607="",D607=""),"",ROUND(MOD(D607-C607,1)*24,2))</f>
        <v/>
      </c>
      <c r="G607" s="7" t="n"/>
      <c r="H607" s="17">
        <f>IF(OR(A607="",B607=""),"",IF(COUNTIFS('Lançamentos Diários'!$A$5:$A$504,A607,'Lançamentos Diários'!$B$5:$B$504,B607)&gt;0,"OK","FALTA LANÇAMENTO"))</f>
        <v/>
      </c>
    </row>
    <row r="608">
      <c r="A608" s="14" t="n"/>
      <c r="B608" s="7" t="n"/>
      <c r="C608" s="15" t="n"/>
      <c r="D608" s="15" t="n"/>
      <c r="E608" s="7" t="n"/>
      <c r="F608" s="12">
        <f>IF(OR(C608="",D608=""),"",ROUND(MOD(D608-C608,1)*24,2))</f>
        <v/>
      </c>
      <c r="G608" s="7" t="n"/>
      <c r="H608" s="17">
        <f>IF(OR(A608="",B608=""),"",IF(COUNTIFS('Lançamentos Diários'!$A$5:$A$504,A608,'Lançamentos Diários'!$B$5:$B$504,B608)&gt;0,"OK","FALTA LANÇAMENTO"))</f>
        <v/>
      </c>
    </row>
    <row r="609">
      <c r="A609" s="14" t="n"/>
      <c r="B609" s="7" t="n"/>
      <c r="C609" s="15" t="n"/>
      <c r="D609" s="15" t="n"/>
      <c r="E609" s="7" t="n"/>
      <c r="F609" s="12">
        <f>IF(OR(C609="",D609=""),"",ROUND(MOD(D609-C609,1)*24,2))</f>
        <v/>
      </c>
      <c r="G609" s="7" t="n"/>
      <c r="H609" s="17">
        <f>IF(OR(A609="",B609=""),"",IF(COUNTIFS('Lançamentos Diários'!$A$5:$A$504,A609,'Lançamentos Diários'!$B$5:$B$504,B609)&gt;0,"OK","FALTA LANÇAMENTO"))</f>
        <v/>
      </c>
    </row>
    <row r="610">
      <c r="A610" s="14" t="n"/>
      <c r="B610" s="7" t="n"/>
      <c r="C610" s="15" t="n"/>
      <c r="D610" s="15" t="n"/>
      <c r="E610" s="7" t="n"/>
      <c r="F610" s="12">
        <f>IF(OR(C610="",D610=""),"",ROUND(MOD(D610-C610,1)*24,2))</f>
        <v/>
      </c>
      <c r="G610" s="7" t="n"/>
      <c r="H610" s="17">
        <f>IF(OR(A610="",B610=""),"",IF(COUNTIFS('Lançamentos Diários'!$A$5:$A$504,A610,'Lançamentos Diários'!$B$5:$B$504,B610)&gt;0,"OK","FALTA LANÇAMENTO"))</f>
        <v/>
      </c>
    </row>
    <row r="611">
      <c r="A611" s="14" t="n"/>
      <c r="B611" s="7" t="n"/>
      <c r="C611" s="15" t="n"/>
      <c r="D611" s="15" t="n"/>
      <c r="E611" s="7" t="n"/>
      <c r="F611" s="12">
        <f>IF(OR(C611="",D611=""),"",ROUND(MOD(D611-C611,1)*24,2))</f>
        <v/>
      </c>
      <c r="G611" s="7" t="n"/>
      <c r="H611" s="17">
        <f>IF(OR(A611="",B611=""),"",IF(COUNTIFS('Lançamentos Diários'!$A$5:$A$504,A611,'Lançamentos Diários'!$B$5:$B$504,B611)&gt;0,"OK","FALTA LANÇAMENTO"))</f>
        <v/>
      </c>
    </row>
    <row r="612">
      <c r="A612" s="14" t="n"/>
      <c r="B612" s="7" t="n"/>
      <c r="C612" s="15" t="n"/>
      <c r="D612" s="15" t="n"/>
      <c r="E612" s="7" t="n"/>
      <c r="F612" s="12">
        <f>IF(OR(C612="",D612=""),"",ROUND(MOD(D612-C612,1)*24,2))</f>
        <v/>
      </c>
      <c r="G612" s="7" t="n"/>
      <c r="H612" s="17">
        <f>IF(OR(A612="",B612=""),"",IF(COUNTIFS('Lançamentos Diários'!$A$5:$A$504,A612,'Lançamentos Diários'!$B$5:$B$504,B612)&gt;0,"OK","FALTA LANÇAMENTO"))</f>
        <v/>
      </c>
    </row>
    <row r="613">
      <c r="A613" s="14" t="n"/>
      <c r="B613" s="7" t="n"/>
      <c r="C613" s="15" t="n"/>
      <c r="D613" s="15" t="n"/>
      <c r="E613" s="7" t="n"/>
      <c r="F613" s="12">
        <f>IF(OR(C613="",D613=""),"",ROUND(MOD(D613-C613,1)*24,2))</f>
        <v/>
      </c>
      <c r="G613" s="7" t="n"/>
      <c r="H613" s="17">
        <f>IF(OR(A613="",B613=""),"",IF(COUNTIFS('Lançamentos Diários'!$A$5:$A$504,A613,'Lançamentos Diários'!$B$5:$B$504,B613)&gt;0,"OK","FALTA LANÇAMENTO"))</f>
        <v/>
      </c>
    </row>
    <row r="614">
      <c r="A614" s="14" t="n"/>
      <c r="B614" s="7" t="n"/>
      <c r="C614" s="15" t="n"/>
      <c r="D614" s="15" t="n"/>
      <c r="E614" s="7" t="n"/>
      <c r="F614" s="12">
        <f>IF(OR(C614="",D614=""),"",ROUND(MOD(D614-C614,1)*24,2))</f>
        <v/>
      </c>
      <c r="G614" s="7" t="n"/>
      <c r="H614" s="17">
        <f>IF(OR(A614="",B614=""),"",IF(COUNTIFS('Lançamentos Diários'!$A$5:$A$504,A614,'Lançamentos Diários'!$B$5:$B$504,B614)&gt;0,"OK","FALTA LANÇAMENTO"))</f>
        <v/>
      </c>
    </row>
    <row r="615">
      <c r="A615" s="14" t="n"/>
      <c r="B615" s="7" t="n"/>
      <c r="C615" s="15" t="n"/>
      <c r="D615" s="15" t="n"/>
      <c r="E615" s="7" t="n"/>
      <c r="F615" s="12">
        <f>IF(OR(C615="",D615=""),"",ROUND(MOD(D615-C615,1)*24,2))</f>
        <v/>
      </c>
      <c r="G615" s="7" t="n"/>
      <c r="H615" s="17">
        <f>IF(OR(A615="",B615=""),"",IF(COUNTIFS('Lançamentos Diários'!$A$5:$A$504,A615,'Lançamentos Diários'!$B$5:$B$504,B615)&gt;0,"OK","FALTA LANÇAMENTO"))</f>
        <v/>
      </c>
    </row>
    <row r="616">
      <c r="A616" s="14" t="n"/>
      <c r="B616" s="7" t="n"/>
      <c r="C616" s="15" t="n"/>
      <c r="D616" s="15" t="n"/>
      <c r="E616" s="7" t="n"/>
      <c r="F616" s="12">
        <f>IF(OR(C616="",D616=""),"",ROUND(MOD(D616-C616,1)*24,2))</f>
        <v/>
      </c>
      <c r="G616" s="7" t="n"/>
      <c r="H616" s="17">
        <f>IF(OR(A616="",B616=""),"",IF(COUNTIFS('Lançamentos Diários'!$A$5:$A$504,A616,'Lançamentos Diários'!$B$5:$B$504,B616)&gt;0,"OK","FALTA LANÇAMENTO"))</f>
        <v/>
      </c>
    </row>
    <row r="617">
      <c r="A617" s="14" t="n"/>
      <c r="B617" s="7" t="n"/>
      <c r="C617" s="15" t="n"/>
      <c r="D617" s="15" t="n"/>
      <c r="E617" s="7" t="n"/>
      <c r="F617" s="12">
        <f>IF(OR(C617="",D617=""),"",ROUND(MOD(D617-C617,1)*24,2))</f>
        <v/>
      </c>
      <c r="G617" s="7" t="n"/>
      <c r="H617" s="17">
        <f>IF(OR(A617="",B617=""),"",IF(COUNTIFS('Lançamentos Diários'!$A$5:$A$504,A617,'Lançamentos Diários'!$B$5:$B$504,B617)&gt;0,"OK","FALTA LANÇAMENTO"))</f>
        <v/>
      </c>
    </row>
    <row r="618">
      <c r="A618" s="14" t="n"/>
      <c r="B618" s="7" t="n"/>
      <c r="C618" s="15" t="n"/>
      <c r="D618" s="15" t="n"/>
      <c r="E618" s="7" t="n"/>
      <c r="F618" s="12">
        <f>IF(OR(C618="",D618=""),"",ROUND(MOD(D618-C618,1)*24,2))</f>
        <v/>
      </c>
      <c r="G618" s="7" t="n"/>
      <c r="H618" s="17">
        <f>IF(OR(A618="",B618=""),"",IF(COUNTIFS('Lançamentos Diários'!$A$5:$A$504,A618,'Lançamentos Diários'!$B$5:$B$504,B618)&gt;0,"OK","FALTA LANÇAMENTO"))</f>
        <v/>
      </c>
    </row>
    <row r="619">
      <c r="A619" s="14" t="n"/>
      <c r="B619" s="7" t="n"/>
      <c r="C619" s="15" t="n"/>
      <c r="D619" s="15" t="n"/>
      <c r="E619" s="7" t="n"/>
      <c r="F619" s="12">
        <f>IF(OR(C619="",D619=""),"",ROUND(MOD(D619-C619,1)*24,2))</f>
        <v/>
      </c>
      <c r="G619" s="7" t="n"/>
      <c r="H619" s="17">
        <f>IF(OR(A619="",B619=""),"",IF(COUNTIFS('Lançamentos Diários'!$A$5:$A$504,A619,'Lançamentos Diários'!$B$5:$B$504,B619)&gt;0,"OK","FALTA LANÇAMENTO"))</f>
        <v/>
      </c>
    </row>
    <row r="620">
      <c r="A620" s="14" t="n"/>
      <c r="B620" s="7" t="n"/>
      <c r="C620" s="15" t="n"/>
      <c r="D620" s="15" t="n"/>
      <c r="E620" s="7" t="n"/>
      <c r="F620" s="12">
        <f>IF(OR(C620="",D620=""),"",ROUND(MOD(D620-C620,1)*24,2))</f>
        <v/>
      </c>
      <c r="G620" s="7" t="n"/>
      <c r="H620" s="17">
        <f>IF(OR(A620="",B620=""),"",IF(COUNTIFS('Lançamentos Diários'!$A$5:$A$504,A620,'Lançamentos Diários'!$B$5:$B$504,B620)&gt;0,"OK","FALTA LANÇAMENTO"))</f>
        <v/>
      </c>
    </row>
    <row r="621">
      <c r="A621" s="14" t="n"/>
      <c r="B621" s="7" t="n"/>
      <c r="C621" s="15" t="n"/>
      <c r="D621" s="15" t="n"/>
      <c r="E621" s="7" t="n"/>
      <c r="F621" s="12">
        <f>IF(OR(C621="",D621=""),"",ROUND(MOD(D621-C621,1)*24,2))</f>
        <v/>
      </c>
      <c r="G621" s="7" t="n"/>
      <c r="H621" s="17">
        <f>IF(OR(A621="",B621=""),"",IF(COUNTIFS('Lançamentos Diários'!$A$5:$A$504,A621,'Lançamentos Diários'!$B$5:$B$504,B621)&gt;0,"OK","FALTA LANÇAMENTO"))</f>
        <v/>
      </c>
    </row>
    <row r="622">
      <c r="A622" s="14" t="n"/>
      <c r="B622" s="7" t="n"/>
      <c r="C622" s="15" t="n"/>
      <c r="D622" s="15" t="n"/>
      <c r="E622" s="7" t="n"/>
      <c r="F622" s="12">
        <f>IF(OR(C622="",D622=""),"",ROUND(MOD(D622-C622,1)*24,2))</f>
        <v/>
      </c>
      <c r="G622" s="7" t="n"/>
      <c r="H622" s="17">
        <f>IF(OR(A622="",B622=""),"",IF(COUNTIFS('Lançamentos Diários'!$A$5:$A$504,A622,'Lançamentos Diários'!$B$5:$B$504,B622)&gt;0,"OK","FALTA LANÇAMENTO"))</f>
        <v/>
      </c>
    </row>
    <row r="623">
      <c r="A623" s="14" t="n"/>
      <c r="B623" s="7" t="n"/>
      <c r="C623" s="15" t="n"/>
      <c r="D623" s="15" t="n"/>
      <c r="E623" s="7" t="n"/>
      <c r="F623" s="12">
        <f>IF(OR(C623="",D623=""),"",ROUND(MOD(D623-C623,1)*24,2))</f>
        <v/>
      </c>
      <c r="G623" s="7" t="n"/>
      <c r="H623" s="17">
        <f>IF(OR(A623="",B623=""),"",IF(COUNTIFS('Lançamentos Diários'!$A$5:$A$504,A623,'Lançamentos Diários'!$B$5:$B$504,B623)&gt;0,"OK","FALTA LANÇAMENTO"))</f>
        <v/>
      </c>
    </row>
    <row r="624">
      <c r="A624" s="14" t="n"/>
      <c r="B624" s="7" t="n"/>
      <c r="C624" s="15" t="n"/>
      <c r="D624" s="15" t="n"/>
      <c r="E624" s="7" t="n"/>
      <c r="F624" s="12">
        <f>IF(OR(C624="",D624=""),"",ROUND(MOD(D624-C624,1)*24,2))</f>
        <v/>
      </c>
      <c r="G624" s="7" t="n"/>
      <c r="H624" s="17">
        <f>IF(OR(A624="",B624=""),"",IF(COUNTIFS('Lançamentos Diários'!$A$5:$A$504,A624,'Lançamentos Diários'!$B$5:$B$504,B624)&gt;0,"OK","FALTA LANÇAMENTO"))</f>
        <v/>
      </c>
    </row>
    <row r="625">
      <c r="A625" s="14" t="n"/>
      <c r="B625" s="7" t="n"/>
      <c r="C625" s="15" t="n"/>
      <c r="D625" s="15" t="n"/>
      <c r="E625" s="7" t="n"/>
      <c r="F625" s="12">
        <f>IF(OR(C625="",D625=""),"",ROUND(MOD(D625-C625,1)*24,2))</f>
        <v/>
      </c>
      <c r="G625" s="7" t="n"/>
      <c r="H625" s="17">
        <f>IF(OR(A625="",B625=""),"",IF(COUNTIFS('Lançamentos Diários'!$A$5:$A$504,A625,'Lançamentos Diários'!$B$5:$B$504,B625)&gt;0,"OK","FALTA LANÇAMENTO"))</f>
        <v/>
      </c>
    </row>
    <row r="626">
      <c r="A626" s="14" t="n"/>
      <c r="B626" s="7" t="n"/>
      <c r="C626" s="15" t="n"/>
      <c r="D626" s="15" t="n"/>
      <c r="E626" s="7" t="n"/>
      <c r="F626" s="12">
        <f>IF(OR(C626="",D626=""),"",ROUND(MOD(D626-C626,1)*24,2))</f>
        <v/>
      </c>
      <c r="G626" s="7" t="n"/>
      <c r="H626" s="17">
        <f>IF(OR(A626="",B626=""),"",IF(COUNTIFS('Lançamentos Diários'!$A$5:$A$504,A626,'Lançamentos Diários'!$B$5:$B$504,B626)&gt;0,"OK","FALTA LANÇAMENTO"))</f>
        <v/>
      </c>
    </row>
    <row r="627">
      <c r="A627" s="14" t="n"/>
      <c r="B627" s="7" t="n"/>
      <c r="C627" s="15" t="n"/>
      <c r="D627" s="15" t="n"/>
      <c r="E627" s="7" t="n"/>
      <c r="F627" s="12">
        <f>IF(OR(C627="",D627=""),"",ROUND(MOD(D627-C627,1)*24,2))</f>
        <v/>
      </c>
      <c r="G627" s="7" t="n"/>
      <c r="H627" s="17">
        <f>IF(OR(A627="",B627=""),"",IF(COUNTIFS('Lançamentos Diários'!$A$5:$A$504,A627,'Lançamentos Diários'!$B$5:$B$504,B627)&gt;0,"OK","FALTA LANÇAMENTO"))</f>
        <v/>
      </c>
    </row>
    <row r="628">
      <c r="A628" s="14" t="n"/>
      <c r="B628" s="7" t="n"/>
      <c r="C628" s="15" t="n"/>
      <c r="D628" s="15" t="n"/>
      <c r="E628" s="7" t="n"/>
      <c r="F628" s="12">
        <f>IF(OR(C628="",D628=""),"",ROUND(MOD(D628-C628,1)*24,2))</f>
        <v/>
      </c>
      <c r="G628" s="7" t="n"/>
      <c r="H628" s="17">
        <f>IF(OR(A628="",B628=""),"",IF(COUNTIFS('Lançamentos Diários'!$A$5:$A$504,A628,'Lançamentos Diários'!$B$5:$B$504,B628)&gt;0,"OK","FALTA LANÇAMENTO"))</f>
        <v/>
      </c>
    </row>
    <row r="629">
      <c r="A629" s="14" t="n"/>
      <c r="B629" s="7" t="n"/>
      <c r="C629" s="15" t="n"/>
      <c r="D629" s="15" t="n"/>
      <c r="E629" s="7" t="n"/>
      <c r="F629" s="12">
        <f>IF(OR(C629="",D629=""),"",ROUND(MOD(D629-C629,1)*24,2))</f>
        <v/>
      </c>
      <c r="G629" s="7" t="n"/>
      <c r="H629" s="17">
        <f>IF(OR(A629="",B629=""),"",IF(COUNTIFS('Lançamentos Diários'!$A$5:$A$504,A629,'Lançamentos Diários'!$B$5:$B$504,B629)&gt;0,"OK","FALTA LANÇAMENTO"))</f>
        <v/>
      </c>
    </row>
    <row r="630">
      <c r="A630" s="14" t="n"/>
      <c r="B630" s="7" t="n"/>
      <c r="C630" s="15" t="n"/>
      <c r="D630" s="15" t="n"/>
      <c r="E630" s="7" t="n"/>
      <c r="F630" s="12">
        <f>IF(OR(C630="",D630=""),"",ROUND(MOD(D630-C630,1)*24,2))</f>
        <v/>
      </c>
      <c r="G630" s="7" t="n"/>
      <c r="H630" s="17">
        <f>IF(OR(A630="",B630=""),"",IF(COUNTIFS('Lançamentos Diários'!$A$5:$A$504,A630,'Lançamentos Diários'!$B$5:$B$504,B630)&gt;0,"OK","FALTA LANÇAMENTO"))</f>
        <v/>
      </c>
    </row>
    <row r="631">
      <c r="A631" s="14" t="n"/>
      <c r="B631" s="7" t="n"/>
      <c r="C631" s="15" t="n"/>
      <c r="D631" s="15" t="n"/>
      <c r="E631" s="7" t="n"/>
      <c r="F631" s="12">
        <f>IF(OR(C631="",D631=""),"",ROUND(MOD(D631-C631,1)*24,2))</f>
        <v/>
      </c>
      <c r="G631" s="7" t="n"/>
      <c r="H631" s="17">
        <f>IF(OR(A631="",B631=""),"",IF(COUNTIFS('Lançamentos Diários'!$A$5:$A$504,A631,'Lançamentos Diários'!$B$5:$B$504,B631)&gt;0,"OK","FALTA LANÇAMENTO"))</f>
        <v/>
      </c>
    </row>
    <row r="632">
      <c r="A632" s="14" t="n"/>
      <c r="B632" s="7" t="n"/>
      <c r="C632" s="15" t="n"/>
      <c r="D632" s="15" t="n"/>
      <c r="E632" s="7" t="n"/>
      <c r="F632" s="12">
        <f>IF(OR(C632="",D632=""),"",ROUND(MOD(D632-C632,1)*24,2))</f>
        <v/>
      </c>
      <c r="G632" s="7" t="n"/>
      <c r="H632" s="17">
        <f>IF(OR(A632="",B632=""),"",IF(COUNTIFS('Lançamentos Diários'!$A$5:$A$504,A632,'Lançamentos Diários'!$B$5:$B$504,B632)&gt;0,"OK","FALTA LANÇAMENTO"))</f>
        <v/>
      </c>
    </row>
    <row r="633">
      <c r="A633" s="14" t="n"/>
      <c r="B633" s="7" t="n"/>
      <c r="C633" s="15" t="n"/>
      <c r="D633" s="15" t="n"/>
      <c r="E633" s="7" t="n"/>
      <c r="F633" s="12">
        <f>IF(OR(C633="",D633=""),"",ROUND(MOD(D633-C633,1)*24,2))</f>
        <v/>
      </c>
      <c r="G633" s="7" t="n"/>
      <c r="H633" s="17">
        <f>IF(OR(A633="",B633=""),"",IF(COUNTIFS('Lançamentos Diários'!$A$5:$A$504,A633,'Lançamentos Diários'!$B$5:$B$504,B633)&gt;0,"OK","FALTA LANÇAMENTO"))</f>
        <v/>
      </c>
    </row>
    <row r="634">
      <c r="A634" s="14" t="n"/>
      <c r="B634" s="7" t="n"/>
      <c r="C634" s="15" t="n"/>
      <c r="D634" s="15" t="n"/>
      <c r="E634" s="7" t="n"/>
      <c r="F634" s="12">
        <f>IF(OR(C634="",D634=""),"",ROUND(MOD(D634-C634,1)*24,2))</f>
        <v/>
      </c>
      <c r="G634" s="7" t="n"/>
      <c r="H634" s="17">
        <f>IF(OR(A634="",B634=""),"",IF(COUNTIFS('Lançamentos Diários'!$A$5:$A$504,A634,'Lançamentos Diários'!$B$5:$B$504,B634)&gt;0,"OK","FALTA LANÇAMENTO"))</f>
        <v/>
      </c>
    </row>
    <row r="635">
      <c r="A635" s="14" t="n"/>
      <c r="B635" s="7" t="n"/>
      <c r="C635" s="15" t="n"/>
      <c r="D635" s="15" t="n"/>
      <c r="E635" s="7" t="n"/>
      <c r="F635" s="12">
        <f>IF(OR(C635="",D635=""),"",ROUND(MOD(D635-C635,1)*24,2))</f>
        <v/>
      </c>
      <c r="G635" s="7" t="n"/>
      <c r="H635" s="17">
        <f>IF(OR(A635="",B635=""),"",IF(COUNTIFS('Lançamentos Diários'!$A$5:$A$504,A635,'Lançamentos Diários'!$B$5:$B$504,B635)&gt;0,"OK","FALTA LANÇAMENTO"))</f>
        <v/>
      </c>
    </row>
    <row r="636">
      <c r="A636" s="14" t="n"/>
      <c r="B636" s="7" t="n"/>
      <c r="C636" s="15" t="n"/>
      <c r="D636" s="15" t="n"/>
      <c r="E636" s="7" t="n"/>
      <c r="F636" s="12">
        <f>IF(OR(C636="",D636=""),"",ROUND(MOD(D636-C636,1)*24,2))</f>
        <v/>
      </c>
      <c r="G636" s="7" t="n"/>
      <c r="H636" s="17">
        <f>IF(OR(A636="",B636=""),"",IF(COUNTIFS('Lançamentos Diários'!$A$5:$A$504,A636,'Lançamentos Diários'!$B$5:$B$504,B636)&gt;0,"OK","FALTA LANÇAMENTO"))</f>
        <v/>
      </c>
    </row>
    <row r="637">
      <c r="A637" s="14" t="n"/>
      <c r="B637" s="7" t="n"/>
      <c r="C637" s="15" t="n"/>
      <c r="D637" s="15" t="n"/>
      <c r="E637" s="7" t="n"/>
      <c r="F637" s="12">
        <f>IF(OR(C637="",D637=""),"",ROUND(MOD(D637-C637,1)*24,2))</f>
        <v/>
      </c>
      <c r="G637" s="7" t="n"/>
      <c r="H637" s="17">
        <f>IF(OR(A637="",B637=""),"",IF(COUNTIFS('Lançamentos Diários'!$A$5:$A$504,A637,'Lançamentos Diários'!$B$5:$B$504,B637)&gt;0,"OK","FALTA LANÇAMENTO"))</f>
        <v/>
      </c>
    </row>
    <row r="638">
      <c r="A638" s="14" t="n"/>
      <c r="B638" s="7" t="n"/>
      <c r="C638" s="15" t="n"/>
      <c r="D638" s="15" t="n"/>
      <c r="E638" s="7" t="n"/>
      <c r="F638" s="12">
        <f>IF(OR(C638="",D638=""),"",ROUND(MOD(D638-C638,1)*24,2))</f>
        <v/>
      </c>
      <c r="G638" s="7" t="n"/>
      <c r="H638" s="17">
        <f>IF(OR(A638="",B638=""),"",IF(COUNTIFS('Lançamentos Diários'!$A$5:$A$504,A638,'Lançamentos Diários'!$B$5:$B$504,B638)&gt;0,"OK","FALTA LANÇAMENTO"))</f>
        <v/>
      </c>
    </row>
    <row r="639">
      <c r="A639" s="14" t="n"/>
      <c r="B639" s="7" t="n"/>
      <c r="C639" s="15" t="n"/>
      <c r="D639" s="15" t="n"/>
      <c r="E639" s="7" t="n"/>
      <c r="F639" s="12">
        <f>IF(OR(C639="",D639=""),"",ROUND(MOD(D639-C639,1)*24,2))</f>
        <v/>
      </c>
      <c r="G639" s="7" t="n"/>
      <c r="H639" s="17">
        <f>IF(OR(A639="",B639=""),"",IF(COUNTIFS('Lançamentos Diários'!$A$5:$A$504,A639,'Lançamentos Diários'!$B$5:$B$504,B639)&gt;0,"OK","FALTA LANÇAMENTO"))</f>
        <v/>
      </c>
    </row>
    <row r="640">
      <c r="A640" s="14" t="n"/>
      <c r="B640" s="7" t="n"/>
      <c r="C640" s="15" t="n"/>
      <c r="D640" s="15" t="n"/>
      <c r="E640" s="7" t="n"/>
      <c r="F640" s="12">
        <f>IF(OR(C640="",D640=""),"",ROUND(MOD(D640-C640,1)*24,2))</f>
        <v/>
      </c>
      <c r="G640" s="7" t="n"/>
      <c r="H640" s="17">
        <f>IF(OR(A640="",B640=""),"",IF(COUNTIFS('Lançamentos Diários'!$A$5:$A$504,A640,'Lançamentos Diários'!$B$5:$B$504,B640)&gt;0,"OK","FALTA LANÇAMENTO"))</f>
        <v/>
      </c>
    </row>
    <row r="641">
      <c r="A641" s="14" t="n"/>
      <c r="B641" s="7" t="n"/>
      <c r="C641" s="15" t="n"/>
      <c r="D641" s="15" t="n"/>
      <c r="E641" s="7" t="n"/>
      <c r="F641" s="12">
        <f>IF(OR(C641="",D641=""),"",ROUND(MOD(D641-C641,1)*24,2))</f>
        <v/>
      </c>
      <c r="G641" s="7" t="n"/>
      <c r="H641" s="17">
        <f>IF(OR(A641="",B641=""),"",IF(COUNTIFS('Lançamentos Diários'!$A$5:$A$504,A641,'Lançamentos Diários'!$B$5:$B$504,B641)&gt;0,"OK","FALTA LANÇAMENTO"))</f>
        <v/>
      </c>
    </row>
    <row r="642">
      <c r="A642" s="14" t="n"/>
      <c r="B642" s="7" t="n"/>
      <c r="C642" s="15" t="n"/>
      <c r="D642" s="15" t="n"/>
      <c r="E642" s="7" t="n"/>
      <c r="F642" s="12">
        <f>IF(OR(C642="",D642=""),"",ROUND(MOD(D642-C642,1)*24,2))</f>
        <v/>
      </c>
      <c r="G642" s="7" t="n"/>
      <c r="H642" s="17">
        <f>IF(OR(A642="",B642=""),"",IF(COUNTIFS('Lançamentos Diários'!$A$5:$A$504,A642,'Lançamentos Diários'!$B$5:$B$504,B642)&gt;0,"OK","FALTA LANÇAMENTO"))</f>
        <v/>
      </c>
    </row>
    <row r="643">
      <c r="A643" s="14" t="n"/>
      <c r="B643" s="7" t="n"/>
      <c r="C643" s="15" t="n"/>
      <c r="D643" s="15" t="n"/>
      <c r="E643" s="7" t="n"/>
      <c r="F643" s="12">
        <f>IF(OR(C643="",D643=""),"",ROUND(MOD(D643-C643,1)*24,2))</f>
        <v/>
      </c>
      <c r="G643" s="7" t="n"/>
      <c r="H643" s="17">
        <f>IF(OR(A643="",B643=""),"",IF(COUNTIFS('Lançamentos Diários'!$A$5:$A$504,A643,'Lançamentos Diários'!$B$5:$B$504,B643)&gt;0,"OK","FALTA LANÇAMENTO"))</f>
        <v/>
      </c>
    </row>
    <row r="644">
      <c r="A644" s="14" t="n"/>
      <c r="B644" s="7" t="n"/>
      <c r="C644" s="15" t="n"/>
      <c r="D644" s="15" t="n"/>
      <c r="E644" s="7" t="n"/>
      <c r="F644" s="12">
        <f>IF(OR(C644="",D644=""),"",ROUND(MOD(D644-C644,1)*24,2))</f>
        <v/>
      </c>
      <c r="G644" s="7" t="n"/>
      <c r="H644" s="17">
        <f>IF(OR(A644="",B644=""),"",IF(COUNTIFS('Lançamentos Diários'!$A$5:$A$504,A644,'Lançamentos Diários'!$B$5:$B$504,B644)&gt;0,"OK","FALTA LANÇAMENTO"))</f>
        <v/>
      </c>
    </row>
    <row r="645">
      <c r="A645" s="14" t="n"/>
      <c r="B645" s="7" t="n"/>
      <c r="C645" s="15" t="n"/>
      <c r="D645" s="15" t="n"/>
      <c r="E645" s="7" t="n"/>
      <c r="F645" s="12">
        <f>IF(OR(C645="",D645=""),"",ROUND(MOD(D645-C645,1)*24,2))</f>
        <v/>
      </c>
      <c r="G645" s="7" t="n"/>
      <c r="H645" s="17">
        <f>IF(OR(A645="",B645=""),"",IF(COUNTIFS('Lançamentos Diários'!$A$5:$A$504,A645,'Lançamentos Diários'!$B$5:$B$504,B645)&gt;0,"OK","FALTA LANÇAMENTO"))</f>
        <v/>
      </c>
    </row>
    <row r="646">
      <c r="A646" s="14" t="n"/>
      <c r="B646" s="7" t="n"/>
      <c r="C646" s="15" t="n"/>
      <c r="D646" s="15" t="n"/>
      <c r="E646" s="7" t="n"/>
      <c r="F646" s="12">
        <f>IF(OR(C646="",D646=""),"",ROUND(MOD(D646-C646,1)*24,2))</f>
        <v/>
      </c>
      <c r="G646" s="7" t="n"/>
      <c r="H646" s="17">
        <f>IF(OR(A646="",B646=""),"",IF(COUNTIFS('Lançamentos Diários'!$A$5:$A$504,A646,'Lançamentos Diários'!$B$5:$B$504,B646)&gt;0,"OK","FALTA LANÇAMENTO"))</f>
        <v/>
      </c>
    </row>
    <row r="647">
      <c r="A647" s="14" t="n"/>
      <c r="B647" s="7" t="n"/>
      <c r="C647" s="15" t="n"/>
      <c r="D647" s="15" t="n"/>
      <c r="E647" s="7" t="n"/>
      <c r="F647" s="12">
        <f>IF(OR(C647="",D647=""),"",ROUND(MOD(D647-C647,1)*24,2))</f>
        <v/>
      </c>
      <c r="G647" s="7" t="n"/>
      <c r="H647" s="17">
        <f>IF(OR(A647="",B647=""),"",IF(COUNTIFS('Lançamentos Diários'!$A$5:$A$504,A647,'Lançamentos Diários'!$B$5:$B$504,B647)&gt;0,"OK","FALTA LANÇAMENTO"))</f>
        <v/>
      </c>
    </row>
    <row r="648">
      <c r="A648" s="14" t="n"/>
      <c r="B648" s="7" t="n"/>
      <c r="C648" s="15" t="n"/>
      <c r="D648" s="15" t="n"/>
      <c r="E648" s="7" t="n"/>
      <c r="F648" s="12">
        <f>IF(OR(C648="",D648=""),"",ROUND(MOD(D648-C648,1)*24,2))</f>
        <v/>
      </c>
      <c r="G648" s="7" t="n"/>
      <c r="H648" s="17">
        <f>IF(OR(A648="",B648=""),"",IF(COUNTIFS('Lançamentos Diários'!$A$5:$A$504,A648,'Lançamentos Diários'!$B$5:$B$504,B648)&gt;0,"OK","FALTA LANÇAMENTO"))</f>
        <v/>
      </c>
    </row>
    <row r="649">
      <c r="A649" s="14" t="n"/>
      <c r="B649" s="7" t="n"/>
      <c r="C649" s="15" t="n"/>
      <c r="D649" s="15" t="n"/>
      <c r="E649" s="7" t="n"/>
      <c r="F649" s="12">
        <f>IF(OR(C649="",D649=""),"",ROUND(MOD(D649-C649,1)*24,2))</f>
        <v/>
      </c>
      <c r="G649" s="7" t="n"/>
      <c r="H649" s="17">
        <f>IF(OR(A649="",B649=""),"",IF(COUNTIFS('Lançamentos Diários'!$A$5:$A$504,A649,'Lançamentos Diários'!$B$5:$B$504,B649)&gt;0,"OK","FALTA LANÇAMENTO"))</f>
        <v/>
      </c>
    </row>
    <row r="650">
      <c r="A650" s="14" t="n"/>
      <c r="B650" s="7" t="n"/>
      <c r="C650" s="15" t="n"/>
      <c r="D650" s="15" t="n"/>
      <c r="E650" s="7" t="n"/>
      <c r="F650" s="12">
        <f>IF(OR(C650="",D650=""),"",ROUND(MOD(D650-C650,1)*24,2))</f>
        <v/>
      </c>
      <c r="G650" s="7" t="n"/>
      <c r="H650" s="17">
        <f>IF(OR(A650="",B650=""),"",IF(COUNTIFS('Lançamentos Diários'!$A$5:$A$504,A650,'Lançamentos Diários'!$B$5:$B$504,B650)&gt;0,"OK","FALTA LANÇAMENTO"))</f>
        <v/>
      </c>
    </row>
    <row r="651">
      <c r="A651" s="14" t="n"/>
      <c r="B651" s="7" t="n"/>
      <c r="C651" s="15" t="n"/>
      <c r="D651" s="15" t="n"/>
      <c r="E651" s="7" t="n"/>
      <c r="F651" s="12">
        <f>IF(OR(C651="",D651=""),"",ROUND(MOD(D651-C651,1)*24,2))</f>
        <v/>
      </c>
      <c r="G651" s="7" t="n"/>
      <c r="H651" s="17">
        <f>IF(OR(A651="",B651=""),"",IF(COUNTIFS('Lançamentos Diários'!$A$5:$A$504,A651,'Lançamentos Diários'!$B$5:$B$504,B651)&gt;0,"OK","FALTA LANÇAMENTO"))</f>
        <v/>
      </c>
    </row>
    <row r="652">
      <c r="A652" s="14" t="n"/>
      <c r="B652" s="7" t="n"/>
      <c r="C652" s="15" t="n"/>
      <c r="D652" s="15" t="n"/>
      <c r="E652" s="7" t="n"/>
      <c r="F652" s="12">
        <f>IF(OR(C652="",D652=""),"",ROUND(MOD(D652-C652,1)*24,2))</f>
        <v/>
      </c>
      <c r="G652" s="7" t="n"/>
      <c r="H652" s="17">
        <f>IF(OR(A652="",B652=""),"",IF(COUNTIFS('Lançamentos Diários'!$A$5:$A$504,A652,'Lançamentos Diários'!$B$5:$B$504,B652)&gt;0,"OK","FALTA LANÇAMENTO"))</f>
        <v/>
      </c>
    </row>
    <row r="653">
      <c r="A653" s="14" t="n"/>
      <c r="B653" s="7" t="n"/>
      <c r="C653" s="15" t="n"/>
      <c r="D653" s="15" t="n"/>
      <c r="E653" s="7" t="n"/>
      <c r="F653" s="12">
        <f>IF(OR(C653="",D653=""),"",ROUND(MOD(D653-C653,1)*24,2))</f>
        <v/>
      </c>
      <c r="G653" s="7" t="n"/>
      <c r="H653" s="17">
        <f>IF(OR(A653="",B653=""),"",IF(COUNTIFS('Lançamentos Diários'!$A$5:$A$504,A653,'Lançamentos Diários'!$B$5:$B$504,B653)&gt;0,"OK","FALTA LANÇAMENTO"))</f>
        <v/>
      </c>
    </row>
    <row r="654">
      <c r="A654" s="14" t="n"/>
      <c r="B654" s="7" t="n"/>
      <c r="C654" s="15" t="n"/>
      <c r="D654" s="15" t="n"/>
      <c r="E654" s="7" t="n"/>
      <c r="F654" s="12">
        <f>IF(OR(C654="",D654=""),"",ROUND(MOD(D654-C654,1)*24,2))</f>
        <v/>
      </c>
      <c r="G654" s="7" t="n"/>
      <c r="H654" s="17">
        <f>IF(OR(A654="",B654=""),"",IF(COUNTIFS('Lançamentos Diários'!$A$5:$A$504,A654,'Lançamentos Diários'!$B$5:$B$504,B654)&gt;0,"OK","FALTA LANÇAMENTO"))</f>
        <v/>
      </c>
    </row>
    <row r="655">
      <c r="A655" s="14" t="n"/>
      <c r="B655" s="7" t="n"/>
      <c r="C655" s="15" t="n"/>
      <c r="D655" s="15" t="n"/>
      <c r="E655" s="7" t="n"/>
      <c r="F655" s="12">
        <f>IF(OR(C655="",D655=""),"",ROUND(MOD(D655-C655,1)*24,2))</f>
        <v/>
      </c>
      <c r="G655" s="7" t="n"/>
      <c r="H655" s="17">
        <f>IF(OR(A655="",B655=""),"",IF(COUNTIFS('Lançamentos Diários'!$A$5:$A$504,A655,'Lançamentos Diários'!$B$5:$B$504,B655)&gt;0,"OK","FALTA LANÇAMENTO"))</f>
        <v/>
      </c>
    </row>
    <row r="656">
      <c r="A656" s="14" t="n"/>
      <c r="B656" s="7" t="n"/>
      <c r="C656" s="15" t="n"/>
      <c r="D656" s="15" t="n"/>
      <c r="E656" s="7" t="n"/>
      <c r="F656" s="12">
        <f>IF(OR(C656="",D656=""),"",ROUND(MOD(D656-C656,1)*24,2))</f>
        <v/>
      </c>
      <c r="G656" s="7" t="n"/>
      <c r="H656" s="17">
        <f>IF(OR(A656="",B656=""),"",IF(COUNTIFS('Lançamentos Diários'!$A$5:$A$504,A656,'Lançamentos Diários'!$B$5:$B$504,B656)&gt;0,"OK","FALTA LANÇAMENTO"))</f>
        <v/>
      </c>
    </row>
    <row r="657">
      <c r="A657" s="14" t="n"/>
      <c r="B657" s="7" t="n"/>
      <c r="C657" s="15" t="n"/>
      <c r="D657" s="15" t="n"/>
      <c r="E657" s="7" t="n"/>
      <c r="F657" s="12">
        <f>IF(OR(C657="",D657=""),"",ROUND(MOD(D657-C657,1)*24,2))</f>
        <v/>
      </c>
      <c r="G657" s="7" t="n"/>
      <c r="H657" s="17">
        <f>IF(OR(A657="",B657=""),"",IF(COUNTIFS('Lançamentos Diários'!$A$5:$A$504,A657,'Lançamentos Diários'!$B$5:$B$504,B657)&gt;0,"OK","FALTA LANÇAMENTO"))</f>
        <v/>
      </c>
    </row>
    <row r="658">
      <c r="A658" s="14" t="n"/>
      <c r="B658" s="7" t="n"/>
      <c r="C658" s="15" t="n"/>
      <c r="D658" s="15" t="n"/>
      <c r="E658" s="7" t="n"/>
      <c r="F658" s="12">
        <f>IF(OR(C658="",D658=""),"",ROUND(MOD(D658-C658,1)*24,2))</f>
        <v/>
      </c>
      <c r="G658" s="7" t="n"/>
      <c r="H658" s="17">
        <f>IF(OR(A658="",B658=""),"",IF(COUNTIFS('Lançamentos Diários'!$A$5:$A$504,A658,'Lançamentos Diários'!$B$5:$B$504,B658)&gt;0,"OK","FALTA LANÇAMENTO"))</f>
        <v/>
      </c>
    </row>
    <row r="659">
      <c r="A659" s="14" t="n"/>
      <c r="B659" s="7" t="n"/>
      <c r="C659" s="15" t="n"/>
      <c r="D659" s="15" t="n"/>
      <c r="E659" s="7" t="n"/>
      <c r="F659" s="12">
        <f>IF(OR(C659="",D659=""),"",ROUND(MOD(D659-C659,1)*24,2))</f>
        <v/>
      </c>
      <c r="G659" s="7" t="n"/>
      <c r="H659" s="17">
        <f>IF(OR(A659="",B659=""),"",IF(COUNTIFS('Lançamentos Diários'!$A$5:$A$504,A659,'Lançamentos Diários'!$B$5:$B$504,B659)&gt;0,"OK","FALTA LANÇAMENTO"))</f>
        <v/>
      </c>
    </row>
    <row r="660">
      <c r="A660" s="14" t="n"/>
      <c r="B660" s="7" t="n"/>
      <c r="C660" s="15" t="n"/>
      <c r="D660" s="15" t="n"/>
      <c r="E660" s="7" t="n"/>
      <c r="F660" s="12">
        <f>IF(OR(C660="",D660=""),"",ROUND(MOD(D660-C660,1)*24,2))</f>
        <v/>
      </c>
      <c r="G660" s="7" t="n"/>
      <c r="H660" s="17">
        <f>IF(OR(A660="",B660=""),"",IF(COUNTIFS('Lançamentos Diários'!$A$5:$A$504,A660,'Lançamentos Diários'!$B$5:$B$504,B660)&gt;0,"OK","FALTA LANÇAMENTO"))</f>
        <v/>
      </c>
    </row>
    <row r="661">
      <c r="A661" s="14" t="n"/>
      <c r="B661" s="7" t="n"/>
      <c r="C661" s="15" t="n"/>
      <c r="D661" s="15" t="n"/>
      <c r="E661" s="7" t="n"/>
      <c r="F661" s="12">
        <f>IF(OR(C661="",D661=""),"",ROUND(MOD(D661-C661,1)*24,2))</f>
        <v/>
      </c>
      <c r="G661" s="7" t="n"/>
      <c r="H661" s="17">
        <f>IF(OR(A661="",B661=""),"",IF(COUNTIFS('Lançamentos Diários'!$A$5:$A$504,A661,'Lançamentos Diários'!$B$5:$B$504,B661)&gt;0,"OK","FALTA LANÇAMENTO"))</f>
        <v/>
      </c>
    </row>
    <row r="662">
      <c r="A662" s="14" t="n"/>
      <c r="B662" s="7" t="n"/>
      <c r="C662" s="15" t="n"/>
      <c r="D662" s="15" t="n"/>
      <c r="E662" s="7" t="n"/>
      <c r="F662" s="12">
        <f>IF(OR(C662="",D662=""),"",ROUND(MOD(D662-C662,1)*24,2))</f>
        <v/>
      </c>
      <c r="G662" s="7" t="n"/>
      <c r="H662" s="17">
        <f>IF(OR(A662="",B662=""),"",IF(COUNTIFS('Lançamentos Diários'!$A$5:$A$504,A662,'Lançamentos Diários'!$B$5:$B$504,B662)&gt;0,"OK","FALTA LANÇAMENTO"))</f>
        <v/>
      </c>
    </row>
    <row r="663">
      <c r="A663" s="14" t="n"/>
      <c r="B663" s="7" t="n"/>
      <c r="C663" s="15" t="n"/>
      <c r="D663" s="15" t="n"/>
      <c r="E663" s="7" t="n"/>
      <c r="F663" s="12">
        <f>IF(OR(C663="",D663=""),"",ROUND(MOD(D663-C663,1)*24,2))</f>
        <v/>
      </c>
      <c r="G663" s="7" t="n"/>
      <c r="H663" s="17">
        <f>IF(OR(A663="",B663=""),"",IF(COUNTIFS('Lançamentos Diários'!$A$5:$A$504,A663,'Lançamentos Diários'!$B$5:$B$504,B663)&gt;0,"OK","FALTA LANÇAMENTO"))</f>
        <v/>
      </c>
    </row>
    <row r="664">
      <c r="A664" s="14" t="n"/>
      <c r="B664" s="7" t="n"/>
      <c r="C664" s="15" t="n"/>
      <c r="D664" s="15" t="n"/>
      <c r="E664" s="7" t="n"/>
      <c r="F664" s="12">
        <f>IF(OR(C664="",D664=""),"",ROUND(MOD(D664-C664,1)*24,2))</f>
        <v/>
      </c>
      <c r="G664" s="7" t="n"/>
      <c r="H664" s="17">
        <f>IF(OR(A664="",B664=""),"",IF(COUNTIFS('Lançamentos Diários'!$A$5:$A$504,A664,'Lançamentos Diários'!$B$5:$B$504,B664)&gt;0,"OK","FALTA LANÇAMENTO"))</f>
        <v/>
      </c>
    </row>
    <row r="665">
      <c r="A665" s="14" t="n"/>
      <c r="B665" s="7" t="n"/>
      <c r="C665" s="15" t="n"/>
      <c r="D665" s="15" t="n"/>
      <c r="E665" s="7" t="n"/>
      <c r="F665" s="12">
        <f>IF(OR(C665="",D665=""),"",ROUND(MOD(D665-C665,1)*24,2))</f>
        <v/>
      </c>
      <c r="G665" s="7" t="n"/>
      <c r="H665" s="17">
        <f>IF(OR(A665="",B665=""),"",IF(COUNTIFS('Lançamentos Diários'!$A$5:$A$504,A665,'Lançamentos Diários'!$B$5:$B$504,B665)&gt;0,"OK","FALTA LANÇAMENTO"))</f>
        <v/>
      </c>
    </row>
    <row r="666">
      <c r="A666" s="14" t="n"/>
      <c r="B666" s="7" t="n"/>
      <c r="C666" s="15" t="n"/>
      <c r="D666" s="15" t="n"/>
      <c r="E666" s="7" t="n"/>
      <c r="F666" s="12">
        <f>IF(OR(C666="",D666=""),"",ROUND(MOD(D666-C666,1)*24,2))</f>
        <v/>
      </c>
      <c r="G666" s="7" t="n"/>
      <c r="H666" s="17">
        <f>IF(OR(A666="",B666=""),"",IF(COUNTIFS('Lançamentos Diários'!$A$5:$A$504,A666,'Lançamentos Diários'!$B$5:$B$504,B666)&gt;0,"OK","FALTA LANÇAMENTO"))</f>
        <v/>
      </c>
    </row>
    <row r="667">
      <c r="A667" s="14" t="n"/>
      <c r="B667" s="7" t="n"/>
      <c r="C667" s="15" t="n"/>
      <c r="D667" s="15" t="n"/>
      <c r="E667" s="7" t="n"/>
      <c r="F667" s="12">
        <f>IF(OR(C667="",D667=""),"",ROUND(MOD(D667-C667,1)*24,2))</f>
        <v/>
      </c>
      <c r="G667" s="7" t="n"/>
      <c r="H667" s="17">
        <f>IF(OR(A667="",B667=""),"",IF(COUNTIFS('Lançamentos Diários'!$A$5:$A$504,A667,'Lançamentos Diários'!$B$5:$B$504,B667)&gt;0,"OK","FALTA LANÇAMENTO"))</f>
        <v/>
      </c>
    </row>
    <row r="668">
      <c r="A668" s="14" t="n"/>
      <c r="B668" s="7" t="n"/>
      <c r="C668" s="15" t="n"/>
      <c r="D668" s="15" t="n"/>
      <c r="E668" s="7" t="n"/>
      <c r="F668" s="12">
        <f>IF(OR(C668="",D668=""),"",ROUND(MOD(D668-C668,1)*24,2))</f>
        <v/>
      </c>
      <c r="G668" s="7" t="n"/>
      <c r="H668" s="17">
        <f>IF(OR(A668="",B668=""),"",IF(COUNTIFS('Lançamentos Diários'!$A$5:$A$504,A668,'Lançamentos Diários'!$B$5:$B$504,B668)&gt;0,"OK","FALTA LANÇAMENTO"))</f>
        <v/>
      </c>
    </row>
    <row r="669">
      <c r="A669" s="14" t="n"/>
      <c r="B669" s="7" t="n"/>
      <c r="C669" s="15" t="n"/>
      <c r="D669" s="15" t="n"/>
      <c r="E669" s="7" t="n"/>
      <c r="F669" s="12">
        <f>IF(OR(C669="",D669=""),"",ROUND(MOD(D669-C669,1)*24,2))</f>
        <v/>
      </c>
      <c r="G669" s="7" t="n"/>
      <c r="H669" s="17">
        <f>IF(OR(A669="",B669=""),"",IF(COUNTIFS('Lançamentos Diários'!$A$5:$A$504,A669,'Lançamentos Diários'!$B$5:$B$504,B669)&gt;0,"OK","FALTA LANÇAMENTO"))</f>
        <v/>
      </c>
    </row>
    <row r="670">
      <c r="A670" s="14" t="n"/>
      <c r="B670" s="7" t="n"/>
      <c r="C670" s="15" t="n"/>
      <c r="D670" s="15" t="n"/>
      <c r="E670" s="7" t="n"/>
      <c r="F670" s="12">
        <f>IF(OR(C670="",D670=""),"",ROUND(MOD(D670-C670,1)*24,2))</f>
        <v/>
      </c>
      <c r="G670" s="7" t="n"/>
      <c r="H670" s="17">
        <f>IF(OR(A670="",B670=""),"",IF(COUNTIFS('Lançamentos Diários'!$A$5:$A$504,A670,'Lançamentos Diários'!$B$5:$B$504,B670)&gt;0,"OK","FALTA LANÇAMENTO"))</f>
        <v/>
      </c>
    </row>
    <row r="671">
      <c r="A671" s="14" t="n"/>
      <c r="B671" s="7" t="n"/>
      <c r="C671" s="15" t="n"/>
      <c r="D671" s="15" t="n"/>
      <c r="E671" s="7" t="n"/>
      <c r="F671" s="12">
        <f>IF(OR(C671="",D671=""),"",ROUND(MOD(D671-C671,1)*24,2))</f>
        <v/>
      </c>
      <c r="G671" s="7" t="n"/>
      <c r="H671" s="17">
        <f>IF(OR(A671="",B671=""),"",IF(COUNTIFS('Lançamentos Diários'!$A$5:$A$504,A671,'Lançamentos Diários'!$B$5:$B$504,B671)&gt;0,"OK","FALTA LANÇAMENTO"))</f>
        <v/>
      </c>
    </row>
    <row r="672">
      <c r="A672" s="14" t="n"/>
      <c r="B672" s="7" t="n"/>
      <c r="C672" s="15" t="n"/>
      <c r="D672" s="15" t="n"/>
      <c r="E672" s="7" t="n"/>
      <c r="F672" s="12">
        <f>IF(OR(C672="",D672=""),"",ROUND(MOD(D672-C672,1)*24,2))</f>
        <v/>
      </c>
      <c r="G672" s="7" t="n"/>
      <c r="H672" s="17">
        <f>IF(OR(A672="",B672=""),"",IF(COUNTIFS('Lançamentos Diários'!$A$5:$A$504,A672,'Lançamentos Diários'!$B$5:$B$504,B672)&gt;0,"OK","FALTA LANÇAMENTO"))</f>
        <v/>
      </c>
    </row>
    <row r="673">
      <c r="A673" s="14" t="n"/>
      <c r="B673" s="7" t="n"/>
      <c r="C673" s="15" t="n"/>
      <c r="D673" s="15" t="n"/>
      <c r="E673" s="7" t="n"/>
      <c r="F673" s="12">
        <f>IF(OR(C673="",D673=""),"",ROUND(MOD(D673-C673,1)*24,2))</f>
        <v/>
      </c>
      <c r="G673" s="7" t="n"/>
      <c r="H673" s="17">
        <f>IF(OR(A673="",B673=""),"",IF(COUNTIFS('Lançamentos Diários'!$A$5:$A$504,A673,'Lançamentos Diários'!$B$5:$B$504,B673)&gt;0,"OK","FALTA LANÇAMENTO"))</f>
        <v/>
      </c>
    </row>
    <row r="674">
      <c r="A674" s="14" t="n"/>
      <c r="B674" s="7" t="n"/>
      <c r="C674" s="15" t="n"/>
      <c r="D674" s="15" t="n"/>
      <c r="E674" s="7" t="n"/>
      <c r="F674" s="12">
        <f>IF(OR(C674="",D674=""),"",ROUND(MOD(D674-C674,1)*24,2))</f>
        <v/>
      </c>
      <c r="G674" s="7" t="n"/>
      <c r="H674" s="17">
        <f>IF(OR(A674="",B674=""),"",IF(COUNTIFS('Lançamentos Diários'!$A$5:$A$504,A674,'Lançamentos Diários'!$B$5:$B$504,B674)&gt;0,"OK","FALTA LANÇAMENTO"))</f>
        <v/>
      </c>
    </row>
    <row r="675">
      <c r="A675" s="14" t="n"/>
      <c r="B675" s="7" t="n"/>
      <c r="C675" s="15" t="n"/>
      <c r="D675" s="15" t="n"/>
      <c r="E675" s="7" t="n"/>
      <c r="F675" s="12">
        <f>IF(OR(C675="",D675=""),"",ROUND(MOD(D675-C675,1)*24,2))</f>
        <v/>
      </c>
      <c r="G675" s="7" t="n"/>
      <c r="H675" s="17">
        <f>IF(OR(A675="",B675=""),"",IF(COUNTIFS('Lançamentos Diários'!$A$5:$A$504,A675,'Lançamentos Diários'!$B$5:$B$504,B675)&gt;0,"OK","FALTA LANÇAMENTO"))</f>
        <v/>
      </c>
    </row>
    <row r="676">
      <c r="A676" s="14" t="n"/>
      <c r="B676" s="7" t="n"/>
      <c r="C676" s="15" t="n"/>
      <c r="D676" s="15" t="n"/>
      <c r="E676" s="7" t="n"/>
      <c r="F676" s="12">
        <f>IF(OR(C676="",D676=""),"",ROUND(MOD(D676-C676,1)*24,2))</f>
        <v/>
      </c>
      <c r="G676" s="7" t="n"/>
      <c r="H676" s="17">
        <f>IF(OR(A676="",B676=""),"",IF(COUNTIFS('Lançamentos Diários'!$A$5:$A$504,A676,'Lançamentos Diários'!$B$5:$B$504,B676)&gt;0,"OK","FALTA LANÇAMENTO"))</f>
        <v/>
      </c>
    </row>
    <row r="677">
      <c r="A677" s="14" t="n"/>
      <c r="B677" s="7" t="n"/>
      <c r="C677" s="15" t="n"/>
      <c r="D677" s="15" t="n"/>
      <c r="E677" s="7" t="n"/>
      <c r="F677" s="12">
        <f>IF(OR(C677="",D677=""),"",ROUND(MOD(D677-C677,1)*24,2))</f>
        <v/>
      </c>
      <c r="G677" s="7" t="n"/>
      <c r="H677" s="17">
        <f>IF(OR(A677="",B677=""),"",IF(COUNTIFS('Lançamentos Diários'!$A$5:$A$504,A677,'Lançamentos Diários'!$B$5:$B$504,B677)&gt;0,"OK","FALTA LANÇAMENTO"))</f>
        <v/>
      </c>
    </row>
    <row r="678">
      <c r="A678" s="14" t="n"/>
      <c r="B678" s="7" t="n"/>
      <c r="C678" s="15" t="n"/>
      <c r="D678" s="15" t="n"/>
      <c r="E678" s="7" t="n"/>
      <c r="F678" s="12">
        <f>IF(OR(C678="",D678=""),"",ROUND(MOD(D678-C678,1)*24,2))</f>
        <v/>
      </c>
      <c r="G678" s="7" t="n"/>
      <c r="H678" s="17">
        <f>IF(OR(A678="",B678=""),"",IF(COUNTIFS('Lançamentos Diários'!$A$5:$A$504,A678,'Lançamentos Diários'!$B$5:$B$504,B678)&gt;0,"OK","FALTA LANÇAMENTO"))</f>
        <v/>
      </c>
    </row>
    <row r="679">
      <c r="A679" s="14" t="n"/>
      <c r="B679" s="7" t="n"/>
      <c r="C679" s="15" t="n"/>
      <c r="D679" s="15" t="n"/>
      <c r="E679" s="7" t="n"/>
      <c r="F679" s="12">
        <f>IF(OR(C679="",D679=""),"",ROUND(MOD(D679-C679,1)*24,2))</f>
        <v/>
      </c>
      <c r="G679" s="7" t="n"/>
      <c r="H679" s="17">
        <f>IF(OR(A679="",B679=""),"",IF(COUNTIFS('Lançamentos Diários'!$A$5:$A$504,A679,'Lançamentos Diários'!$B$5:$B$504,B679)&gt;0,"OK","FALTA LANÇAMENTO"))</f>
        <v/>
      </c>
    </row>
    <row r="680">
      <c r="A680" s="14" t="n"/>
      <c r="B680" s="7" t="n"/>
      <c r="C680" s="15" t="n"/>
      <c r="D680" s="15" t="n"/>
      <c r="E680" s="7" t="n"/>
      <c r="F680" s="12">
        <f>IF(OR(C680="",D680=""),"",ROUND(MOD(D680-C680,1)*24,2))</f>
        <v/>
      </c>
      <c r="G680" s="7" t="n"/>
      <c r="H680" s="17">
        <f>IF(OR(A680="",B680=""),"",IF(COUNTIFS('Lançamentos Diários'!$A$5:$A$504,A680,'Lançamentos Diários'!$B$5:$B$504,B680)&gt;0,"OK","FALTA LANÇAMENTO"))</f>
        <v/>
      </c>
    </row>
    <row r="681">
      <c r="A681" s="14" t="n"/>
      <c r="B681" s="7" t="n"/>
      <c r="C681" s="15" t="n"/>
      <c r="D681" s="15" t="n"/>
      <c r="E681" s="7" t="n"/>
      <c r="F681" s="12">
        <f>IF(OR(C681="",D681=""),"",ROUND(MOD(D681-C681,1)*24,2))</f>
        <v/>
      </c>
      <c r="G681" s="7" t="n"/>
      <c r="H681" s="17">
        <f>IF(OR(A681="",B681=""),"",IF(COUNTIFS('Lançamentos Diários'!$A$5:$A$504,A681,'Lançamentos Diários'!$B$5:$B$504,B681)&gt;0,"OK","FALTA LANÇAMENTO"))</f>
        <v/>
      </c>
    </row>
    <row r="682">
      <c r="A682" s="14" t="n"/>
      <c r="B682" s="7" t="n"/>
      <c r="C682" s="15" t="n"/>
      <c r="D682" s="15" t="n"/>
      <c r="E682" s="7" t="n"/>
      <c r="F682" s="12">
        <f>IF(OR(C682="",D682=""),"",ROUND(MOD(D682-C682,1)*24,2))</f>
        <v/>
      </c>
      <c r="G682" s="7" t="n"/>
      <c r="H682" s="17">
        <f>IF(OR(A682="",B682=""),"",IF(COUNTIFS('Lançamentos Diários'!$A$5:$A$504,A682,'Lançamentos Diários'!$B$5:$B$504,B682)&gt;0,"OK","FALTA LANÇAMENTO"))</f>
        <v/>
      </c>
    </row>
    <row r="683">
      <c r="A683" s="14" t="n"/>
      <c r="B683" s="7" t="n"/>
      <c r="C683" s="15" t="n"/>
      <c r="D683" s="15" t="n"/>
      <c r="E683" s="7" t="n"/>
      <c r="F683" s="12">
        <f>IF(OR(C683="",D683=""),"",ROUND(MOD(D683-C683,1)*24,2))</f>
        <v/>
      </c>
      <c r="G683" s="7" t="n"/>
      <c r="H683" s="17">
        <f>IF(OR(A683="",B683=""),"",IF(COUNTIFS('Lançamentos Diários'!$A$5:$A$504,A683,'Lançamentos Diários'!$B$5:$B$504,B683)&gt;0,"OK","FALTA LANÇAMENTO"))</f>
        <v/>
      </c>
    </row>
    <row r="684">
      <c r="A684" s="14" t="n"/>
      <c r="B684" s="7" t="n"/>
      <c r="C684" s="15" t="n"/>
      <c r="D684" s="15" t="n"/>
      <c r="E684" s="7" t="n"/>
      <c r="F684" s="12">
        <f>IF(OR(C684="",D684=""),"",ROUND(MOD(D684-C684,1)*24,2))</f>
        <v/>
      </c>
      <c r="G684" s="7" t="n"/>
      <c r="H684" s="17">
        <f>IF(OR(A684="",B684=""),"",IF(COUNTIFS('Lançamentos Diários'!$A$5:$A$504,A684,'Lançamentos Diários'!$B$5:$B$504,B684)&gt;0,"OK","FALTA LANÇAMENTO"))</f>
        <v/>
      </c>
    </row>
    <row r="685">
      <c r="A685" s="14" t="n"/>
      <c r="B685" s="7" t="n"/>
      <c r="C685" s="15" t="n"/>
      <c r="D685" s="15" t="n"/>
      <c r="E685" s="7" t="n"/>
      <c r="F685" s="12">
        <f>IF(OR(C685="",D685=""),"",ROUND(MOD(D685-C685,1)*24,2))</f>
        <v/>
      </c>
      <c r="G685" s="7" t="n"/>
      <c r="H685" s="17">
        <f>IF(OR(A685="",B685=""),"",IF(COUNTIFS('Lançamentos Diários'!$A$5:$A$504,A685,'Lançamentos Diários'!$B$5:$B$504,B685)&gt;0,"OK","FALTA LANÇAMENTO"))</f>
        <v/>
      </c>
    </row>
    <row r="686">
      <c r="A686" s="14" t="n"/>
      <c r="B686" s="7" t="n"/>
      <c r="C686" s="15" t="n"/>
      <c r="D686" s="15" t="n"/>
      <c r="E686" s="7" t="n"/>
      <c r="F686" s="12">
        <f>IF(OR(C686="",D686=""),"",ROUND(MOD(D686-C686,1)*24,2))</f>
        <v/>
      </c>
      <c r="G686" s="7" t="n"/>
      <c r="H686" s="17">
        <f>IF(OR(A686="",B686=""),"",IF(COUNTIFS('Lançamentos Diários'!$A$5:$A$504,A686,'Lançamentos Diários'!$B$5:$B$504,B686)&gt;0,"OK","FALTA LANÇAMENTO"))</f>
        <v/>
      </c>
    </row>
    <row r="687">
      <c r="A687" s="14" t="n"/>
      <c r="B687" s="7" t="n"/>
      <c r="C687" s="15" t="n"/>
      <c r="D687" s="15" t="n"/>
      <c r="E687" s="7" t="n"/>
      <c r="F687" s="12">
        <f>IF(OR(C687="",D687=""),"",ROUND(MOD(D687-C687,1)*24,2))</f>
        <v/>
      </c>
      <c r="G687" s="7" t="n"/>
      <c r="H687" s="17">
        <f>IF(OR(A687="",B687=""),"",IF(COUNTIFS('Lançamentos Diários'!$A$5:$A$504,A687,'Lançamentos Diários'!$B$5:$B$504,B687)&gt;0,"OK","FALTA LANÇAMENTO"))</f>
        <v/>
      </c>
    </row>
    <row r="688">
      <c r="A688" s="14" t="n"/>
      <c r="B688" s="7" t="n"/>
      <c r="C688" s="15" t="n"/>
      <c r="D688" s="15" t="n"/>
      <c r="E688" s="7" t="n"/>
      <c r="F688" s="12">
        <f>IF(OR(C688="",D688=""),"",ROUND(MOD(D688-C688,1)*24,2))</f>
        <v/>
      </c>
      <c r="G688" s="7" t="n"/>
      <c r="H688" s="17">
        <f>IF(OR(A688="",B688=""),"",IF(COUNTIFS('Lançamentos Diários'!$A$5:$A$504,A688,'Lançamentos Diários'!$B$5:$B$504,B688)&gt;0,"OK","FALTA LANÇAMENTO"))</f>
        <v/>
      </c>
    </row>
    <row r="689">
      <c r="A689" s="14" t="n"/>
      <c r="B689" s="7" t="n"/>
      <c r="C689" s="15" t="n"/>
      <c r="D689" s="15" t="n"/>
      <c r="E689" s="7" t="n"/>
      <c r="F689" s="12">
        <f>IF(OR(C689="",D689=""),"",ROUND(MOD(D689-C689,1)*24,2))</f>
        <v/>
      </c>
      <c r="G689" s="7" t="n"/>
      <c r="H689" s="17">
        <f>IF(OR(A689="",B689=""),"",IF(COUNTIFS('Lançamentos Diários'!$A$5:$A$504,A689,'Lançamentos Diários'!$B$5:$B$504,B689)&gt;0,"OK","FALTA LANÇAMENTO"))</f>
        <v/>
      </c>
    </row>
    <row r="690">
      <c r="A690" s="14" t="n"/>
      <c r="B690" s="7" t="n"/>
      <c r="C690" s="15" t="n"/>
      <c r="D690" s="15" t="n"/>
      <c r="E690" s="7" t="n"/>
      <c r="F690" s="12">
        <f>IF(OR(C690="",D690=""),"",ROUND(MOD(D690-C690,1)*24,2))</f>
        <v/>
      </c>
      <c r="G690" s="7" t="n"/>
      <c r="H690" s="17">
        <f>IF(OR(A690="",B690=""),"",IF(COUNTIFS('Lançamentos Diários'!$A$5:$A$504,A690,'Lançamentos Diários'!$B$5:$B$504,B690)&gt;0,"OK","FALTA LANÇAMENTO"))</f>
        <v/>
      </c>
    </row>
    <row r="691">
      <c r="A691" s="14" t="n"/>
      <c r="B691" s="7" t="n"/>
      <c r="C691" s="15" t="n"/>
      <c r="D691" s="15" t="n"/>
      <c r="E691" s="7" t="n"/>
      <c r="F691" s="12">
        <f>IF(OR(C691="",D691=""),"",ROUND(MOD(D691-C691,1)*24,2))</f>
        <v/>
      </c>
      <c r="G691" s="7" t="n"/>
      <c r="H691" s="17">
        <f>IF(OR(A691="",B691=""),"",IF(COUNTIFS('Lançamentos Diários'!$A$5:$A$504,A691,'Lançamentos Diários'!$B$5:$B$504,B691)&gt;0,"OK","FALTA LANÇAMENTO"))</f>
        <v/>
      </c>
    </row>
    <row r="692">
      <c r="A692" s="14" t="n"/>
      <c r="B692" s="7" t="n"/>
      <c r="C692" s="15" t="n"/>
      <c r="D692" s="15" t="n"/>
      <c r="E692" s="7" t="n"/>
      <c r="F692" s="12">
        <f>IF(OR(C692="",D692=""),"",ROUND(MOD(D692-C692,1)*24,2))</f>
        <v/>
      </c>
      <c r="G692" s="7" t="n"/>
      <c r="H692" s="17">
        <f>IF(OR(A692="",B692=""),"",IF(COUNTIFS('Lançamentos Diários'!$A$5:$A$504,A692,'Lançamentos Diários'!$B$5:$B$504,B692)&gt;0,"OK","FALTA LANÇAMENTO"))</f>
        <v/>
      </c>
    </row>
    <row r="693">
      <c r="A693" s="14" t="n"/>
      <c r="B693" s="7" t="n"/>
      <c r="C693" s="15" t="n"/>
      <c r="D693" s="15" t="n"/>
      <c r="E693" s="7" t="n"/>
      <c r="F693" s="12">
        <f>IF(OR(C693="",D693=""),"",ROUND(MOD(D693-C693,1)*24,2))</f>
        <v/>
      </c>
      <c r="G693" s="7" t="n"/>
      <c r="H693" s="17">
        <f>IF(OR(A693="",B693=""),"",IF(COUNTIFS('Lançamentos Diários'!$A$5:$A$504,A693,'Lançamentos Diários'!$B$5:$B$504,B693)&gt;0,"OK","FALTA LANÇAMENTO"))</f>
        <v/>
      </c>
    </row>
    <row r="694">
      <c r="A694" s="14" t="n"/>
      <c r="B694" s="7" t="n"/>
      <c r="C694" s="15" t="n"/>
      <c r="D694" s="15" t="n"/>
      <c r="E694" s="7" t="n"/>
      <c r="F694" s="12">
        <f>IF(OR(C694="",D694=""),"",ROUND(MOD(D694-C694,1)*24,2))</f>
        <v/>
      </c>
      <c r="G694" s="7" t="n"/>
      <c r="H694" s="17">
        <f>IF(OR(A694="",B694=""),"",IF(COUNTIFS('Lançamentos Diários'!$A$5:$A$504,A694,'Lançamentos Diários'!$B$5:$B$504,B694)&gt;0,"OK","FALTA LANÇAMENTO"))</f>
        <v/>
      </c>
    </row>
    <row r="695">
      <c r="A695" s="14" t="n"/>
      <c r="B695" s="7" t="n"/>
      <c r="C695" s="15" t="n"/>
      <c r="D695" s="15" t="n"/>
      <c r="E695" s="7" t="n"/>
      <c r="F695" s="12">
        <f>IF(OR(C695="",D695=""),"",ROUND(MOD(D695-C695,1)*24,2))</f>
        <v/>
      </c>
      <c r="G695" s="7" t="n"/>
      <c r="H695" s="17">
        <f>IF(OR(A695="",B695=""),"",IF(COUNTIFS('Lançamentos Diários'!$A$5:$A$504,A695,'Lançamentos Diários'!$B$5:$B$504,B695)&gt;0,"OK","FALTA LANÇAMENTO"))</f>
        <v/>
      </c>
    </row>
    <row r="696">
      <c r="A696" s="14" t="n"/>
      <c r="B696" s="7" t="n"/>
      <c r="C696" s="15" t="n"/>
      <c r="D696" s="15" t="n"/>
      <c r="E696" s="7" t="n"/>
      <c r="F696" s="12">
        <f>IF(OR(C696="",D696=""),"",ROUND(MOD(D696-C696,1)*24,2))</f>
        <v/>
      </c>
      <c r="G696" s="7" t="n"/>
      <c r="H696" s="17">
        <f>IF(OR(A696="",B696=""),"",IF(COUNTIFS('Lançamentos Diários'!$A$5:$A$504,A696,'Lançamentos Diários'!$B$5:$B$504,B696)&gt;0,"OK","FALTA LANÇAMENTO"))</f>
        <v/>
      </c>
    </row>
    <row r="697">
      <c r="A697" s="14" t="n"/>
      <c r="B697" s="7" t="n"/>
      <c r="C697" s="15" t="n"/>
      <c r="D697" s="15" t="n"/>
      <c r="E697" s="7" t="n"/>
      <c r="F697" s="12">
        <f>IF(OR(C697="",D697=""),"",ROUND(MOD(D697-C697,1)*24,2))</f>
        <v/>
      </c>
      <c r="G697" s="7" t="n"/>
      <c r="H697" s="17">
        <f>IF(OR(A697="",B697=""),"",IF(COUNTIFS('Lançamentos Diários'!$A$5:$A$504,A697,'Lançamentos Diários'!$B$5:$B$504,B697)&gt;0,"OK","FALTA LANÇAMENTO"))</f>
        <v/>
      </c>
    </row>
    <row r="698">
      <c r="A698" s="14" t="n"/>
      <c r="B698" s="7" t="n"/>
      <c r="C698" s="15" t="n"/>
      <c r="D698" s="15" t="n"/>
      <c r="E698" s="7" t="n"/>
      <c r="F698" s="12">
        <f>IF(OR(C698="",D698=""),"",ROUND(MOD(D698-C698,1)*24,2))</f>
        <v/>
      </c>
      <c r="G698" s="7" t="n"/>
      <c r="H698" s="17">
        <f>IF(OR(A698="",B698=""),"",IF(COUNTIFS('Lançamentos Diários'!$A$5:$A$504,A698,'Lançamentos Diários'!$B$5:$B$504,B698)&gt;0,"OK","FALTA LANÇAMENTO"))</f>
        <v/>
      </c>
    </row>
    <row r="699">
      <c r="A699" s="14" t="n"/>
      <c r="B699" s="7" t="n"/>
      <c r="C699" s="15" t="n"/>
      <c r="D699" s="15" t="n"/>
      <c r="E699" s="7" t="n"/>
      <c r="F699" s="12">
        <f>IF(OR(C699="",D699=""),"",ROUND(MOD(D699-C699,1)*24,2))</f>
        <v/>
      </c>
      <c r="G699" s="7" t="n"/>
      <c r="H699" s="17">
        <f>IF(OR(A699="",B699=""),"",IF(COUNTIFS('Lançamentos Diários'!$A$5:$A$504,A699,'Lançamentos Diários'!$B$5:$B$504,B699)&gt;0,"OK","FALTA LANÇAMENTO"))</f>
        <v/>
      </c>
    </row>
    <row r="700">
      <c r="A700" s="14" t="n"/>
      <c r="B700" s="7" t="n"/>
      <c r="C700" s="15" t="n"/>
      <c r="D700" s="15" t="n"/>
      <c r="E700" s="7" t="n"/>
      <c r="F700" s="12">
        <f>IF(OR(C700="",D700=""),"",ROUND(MOD(D700-C700,1)*24,2))</f>
        <v/>
      </c>
      <c r="G700" s="7" t="n"/>
      <c r="H700" s="17">
        <f>IF(OR(A700="",B700=""),"",IF(COUNTIFS('Lançamentos Diários'!$A$5:$A$504,A700,'Lançamentos Diários'!$B$5:$B$504,B700)&gt;0,"OK","FALTA LANÇAMENTO"))</f>
        <v/>
      </c>
    </row>
    <row r="701">
      <c r="A701" s="14" t="n"/>
      <c r="B701" s="7" t="n"/>
      <c r="C701" s="15" t="n"/>
      <c r="D701" s="15" t="n"/>
      <c r="E701" s="7" t="n"/>
      <c r="F701" s="12">
        <f>IF(OR(C701="",D701=""),"",ROUND(MOD(D701-C701,1)*24,2))</f>
        <v/>
      </c>
      <c r="G701" s="7" t="n"/>
      <c r="H701" s="17">
        <f>IF(OR(A701="",B701=""),"",IF(COUNTIFS('Lançamentos Diários'!$A$5:$A$504,A701,'Lançamentos Diários'!$B$5:$B$504,B701)&gt;0,"OK","FALTA LANÇAMENTO"))</f>
        <v/>
      </c>
    </row>
    <row r="702">
      <c r="A702" s="14" t="n"/>
      <c r="B702" s="7" t="n"/>
      <c r="C702" s="15" t="n"/>
      <c r="D702" s="15" t="n"/>
      <c r="E702" s="7" t="n"/>
      <c r="F702" s="12">
        <f>IF(OR(C702="",D702=""),"",ROUND(MOD(D702-C702,1)*24,2))</f>
        <v/>
      </c>
      <c r="G702" s="7" t="n"/>
      <c r="H702" s="17">
        <f>IF(OR(A702="",B702=""),"",IF(COUNTIFS('Lançamentos Diários'!$A$5:$A$504,A702,'Lançamentos Diários'!$B$5:$B$504,B702)&gt;0,"OK","FALTA LANÇAMENTO"))</f>
        <v/>
      </c>
    </row>
    <row r="703">
      <c r="A703" s="14" t="n"/>
      <c r="B703" s="7" t="n"/>
      <c r="C703" s="15" t="n"/>
      <c r="D703" s="15" t="n"/>
      <c r="E703" s="7" t="n"/>
      <c r="F703" s="12">
        <f>IF(OR(C703="",D703=""),"",ROUND(MOD(D703-C703,1)*24,2))</f>
        <v/>
      </c>
      <c r="G703" s="7" t="n"/>
      <c r="H703" s="17">
        <f>IF(OR(A703="",B703=""),"",IF(COUNTIFS('Lançamentos Diários'!$A$5:$A$504,A703,'Lançamentos Diários'!$B$5:$B$504,B703)&gt;0,"OK","FALTA LANÇAMENTO"))</f>
        <v/>
      </c>
    </row>
    <row r="704">
      <c r="A704" s="14" t="n"/>
      <c r="B704" s="7" t="n"/>
      <c r="C704" s="15" t="n"/>
      <c r="D704" s="15" t="n"/>
      <c r="E704" s="7" t="n"/>
      <c r="F704" s="12">
        <f>IF(OR(C704="",D704=""),"",ROUND(MOD(D704-C704,1)*24,2))</f>
        <v/>
      </c>
      <c r="G704" s="7" t="n"/>
      <c r="H704" s="17">
        <f>IF(OR(A704="",B704=""),"",IF(COUNTIFS('Lançamentos Diários'!$A$5:$A$504,A704,'Lançamentos Diários'!$B$5:$B$504,B704)&gt;0,"OK","FALTA LANÇAMENTO"))</f>
        <v/>
      </c>
    </row>
    <row r="705">
      <c r="A705" s="14" t="n"/>
      <c r="B705" s="7" t="n"/>
      <c r="C705" s="15" t="n"/>
      <c r="D705" s="15" t="n"/>
      <c r="E705" s="7" t="n"/>
      <c r="F705" s="12">
        <f>IF(OR(C705="",D705=""),"",ROUND(MOD(D705-C705,1)*24,2))</f>
        <v/>
      </c>
      <c r="G705" s="7" t="n"/>
      <c r="H705" s="17">
        <f>IF(OR(A705="",B705=""),"",IF(COUNTIFS('Lançamentos Diários'!$A$5:$A$504,A705,'Lançamentos Diários'!$B$5:$B$504,B705)&gt;0,"OK","FALTA LANÇAMENTO"))</f>
        <v/>
      </c>
    </row>
    <row r="706">
      <c r="A706" s="14" t="n"/>
      <c r="B706" s="7" t="n"/>
      <c r="C706" s="15" t="n"/>
      <c r="D706" s="15" t="n"/>
      <c r="E706" s="7" t="n"/>
      <c r="F706" s="12">
        <f>IF(OR(C706="",D706=""),"",ROUND(MOD(D706-C706,1)*24,2))</f>
        <v/>
      </c>
      <c r="G706" s="7" t="n"/>
      <c r="H706" s="17">
        <f>IF(OR(A706="",B706=""),"",IF(COUNTIFS('Lançamentos Diários'!$A$5:$A$504,A706,'Lançamentos Diários'!$B$5:$B$504,B706)&gt;0,"OK","FALTA LANÇAMENTO"))</f>
        <v/>
      </c>
    </row>
    <row r="707">
      <c r="A707" s="14" t="n"/>
      <c r="B707" s="7" t="n"/>
      <c r="C707" s="15" t="n"/>
      <c r="D707" s="15" t="n"/>
      <c r="E707" s="7" t="n"/>
      <c r="F707" s="12">
        <f>IF(OR(C707="",D707=""),"",ROUND(MOD(D707-C707,1)*24,2))</f>
        <v/>
      </c>
      <c r="G707" s="7" t="n"/>
      <c r="H707" s="17">
        <f>IF(OR(A707="",B707=""),"",IF(COUNTIFS('Lançamentos Diários'!$A$5:$A$504,A707,'Lançamentos Diários'!$B$5:$B$504,B707)&gt;0,"OK","FALTA LANÇAMENTO"))</f>
        <v/>
      </c>
    </row>
    <row r="708">
      <c r="A708" s="14" t="n"/>
      <c r="B708" s="7" t="n"/>
      <c r="C708" s="15" t="n"/>
      <c r="D708" s="15" t="n"/>
      <c r="E708" s="7" t="n"/>
      <c r="F708" s="12">
        <f>IF(OR(C708="",D708=""),"",ROUND(MOD(D708-C708,1)*24,2))</f>
        <v/>
      </c>
      <c r="G708" s="7" t="n"/>
      <c r="H708" s="17">
        <f>IF(OR(A708="",B708=""),"",IF(COUNTIFS('Lançamentos Diários'!$A$5:$A$504,A708,'Lançamentos Diários'!$B$5:$B$504,B708)&gt;0,"OK","FALTA LANÇAMENTO"))</f>
        <v/>
      </c>
    </row>
    <row r="709">
      <c r="A709" s="14" t="n"/>
      <c r="B709" s="7" t="n"/>
      <c r="C709" s="15" t="n"/>
      <c r="D709" s="15" t="n"/>
      <c r="E709" s="7" t="n"/>
      <c r="F709" s="12">
        <f>IF(OR(C709="",D709=""),"",ROUND(MOD(D709-C709,1)*24,2))</f>
        <v/>
      </c>
      <c r="G709" s="7" t="n"/>
      <c r="H709" s="17">
        <f>IF(OR(A709="",B709=""),"",IF(COUNTIFS('Lançamentos Diários'!$A$5:$A$504,A709,'Lançamentos Diários'!$B$5:$B$504,B709)&gt;0,"OK","FALTA LANÇAMENTO"))</f>
        <v/>
      </c>
    </row>
    <row r="710">
      <c r="A710" s="14" t="n"/>
      <c r="B710" s="7" t="n"/>
      <c r="C710" s="15" t="n"/>
      <c r="D710" s="15" t="n"/>
      <c r="E710" s="7" t="n"/>
      <c r="F710" s="12">
        <f>IF(OR(C710="",D710=""),"",ROUND(MOD(D710-C710,1)*24,2))</f>
        <v/>
      </c>
      <c r="G710" s="7" t="n"/>
      <c r="H710" s="17">
        <f>IF(OR(A710="",B710=""),"",IF(COUNTIFS('Lançamentos Diários'!$A$5:$A$504,A710,'Lançamentos Diários'!$B$5:$B$504,B710)&gt;0,"OK","FALTA LANÇAMENTO"))</f>
        <v/>
      </c>
    </row>
    <row r="711">
      <c r="A711" s="14" t="n"/>
      <c r="B711" s="7" t="n"/>
      <c r="C711" s="15" t="n"/>
      <c r="D711" s="15" t="n"/>
      <c r="E711" s="7" t="n"/>
      <c r="F711" s="12">
        <f>IF(OR(C711="",D711=""),"",ROUND(MOD(D711-C711,1)*24,2))</f>
        <v/>
      </c>
      <c r="G711" s="7" t="n"/>
      <c r="H711" s="17">
        <f>IF(OR(A711="",B711=""),"",IF(COUNTIFS('Lançamentos Diários'!$A$5:$A$504,A711,'Lançamentos Diários'!$B$5:$B$504,B711)&gt;0,"OK","FALTA LANÇAMENTO"))</f>
        <v/>
      </c>
    </row>
    <row r="712">
      <c r="A712" s="14" t="n"/>
      <c r="B712" s="7" t="n"/>
      <c r="C712" s="15" t="n"/>
      <c r="D712" s="15" t="n"/>
      <c r="E712" s="7" t="n"/>
      <c r="F712" s="12">
        <f>IF(OR(C712="",D712=""),"",ROUND(MOD(D712-C712,1)*24,2))</f>
        <v/>
      </c>
      <c r="G712" s="7" t="n"/>
      <c r="H712" s="17">
        <f>IF(OR(A712="",B712=""),"",IF(COUNTIFS('Lançamentos Diários'!$A$5:$A$504,A712,'Lançamentos Diários'!$B$5:$B$504,B712)&gt;0,"OK","FALTA LANÇAMENTO"))</f>
        <v/>
      </c>
    </row>
    <row r="713">
      <c r="A713" s="14" t="n"/>
      <c r="B713" s="7" t="n"/>
      <c r="C713" s="15" t="n"/>
      <c r="D713" s="15" t="n"/>
      <c r="E713" s="7" t="n"/>
      <c r="F713" s="12">
        <f>IF(OR(C713="",D713=""),"",ROUND(MOD(D713-C713,1)*24,2))</f>
        <v/>
      </c>
      <c r="G713" s="7" t="n"/>
      <c r="H713" s="17">
        <f>IF(OR(A713="",B713=""),"",IF(COUNTIFS('Lançamentos Diários'!$A$5:$A$504,A713,'Lançamentos Diários'!$B$5:$B$504,B713)&gt;0,"OK","FALTA LANÇAMENTO"))</f>
        <v/>
      </c>
    </row>
    <row r="714">
      <c r="A714" s="14" t="n"/>
      <c r="B714" s="7" t="n"/>
      <c r="C714" s="15" t="n"/>
      <c r="D714" s="15" t="n"/>
      <c r="E714" s="7" t="n"/>
      <c r="F714" s="12">
        <f>IF(OR(C714="",D714=""),"",ROUND(MOD(D714-C714,1)*24,2))</f>
        <v/>
      </c>
      <c r="G714" s="7" t="n"/>
      <c r="H714" s="17">
        <f>IF(OR(A714="",B714=""),"",IF(COUNTIFS('Lançamentos Diários'!$A$5:$A$504,A714,'Lançamentos Diários'!$B$5:$B$504,B714)&gt;0,"OK","FALTA LANÇAMENTO"))</f>
        <v/>
      </c>
    </row>
    <row r="715">
      <c r="A715" s="14" t="n"/>
      <c r="B715" s="7" t="n"/>
      <c r="C715" s="15" t="n"/>
      <c r="D715" s="15" t="n"/>
      <c r="E715" s="7" t="n"/>
      <c r="F715" s="12">
        <f>IF(OR(C715="",D715=""),"",ROUND(MOD(D715-C715,1)*24,2))</f>
        <v/>
      </c>
      <c r="G715" s="7" t="n"/>
      <c r="H715" s="17">
        <f>IF(OR(A715="",B715=""),"",IF(COUNTIFS('Lançamentos Diários'!$A$5:$A$504,A715,'Lançamentos Diários'!$B$5:$B$504,B715)&gt;0,"OK","FALTA LANÇAMENTO"))</f>
        <v/>
      </c>
    </row>
    <row r="716">
      <c r="A716" s="14" t="n"/>
      <c r="B716" s="7" t="n"/>
      <c r="C716" s="15" t="n"/>
      <c r="D716" s="15" t="n"/>
      <c r="E716" s="7" t="n"/>
      <c r="F716" s="12">
        <f>IF(OR(C716="",D716=""),"",ROUND(MOD(D716-C716,1)*24,2))</f>
        <v/>
      </c>
      <c r="G716" s="7" t="n"/>
      <c r="H716" s="17">
        <f>IF(OR(A716="",B716=""),"",IF(COUNTIFS('Lançamentos Diários'!$A$5:$A$504,A716,'Lançamentos Diários'!$B$5:$B$504,B716)&gt;0,"OK","FALTA LANÇAMENTO"))</f>
        <v/>
      </c>
    </row>
    <row r="717">
      <c r="A717" s="14" t="n"/>
      <c r="B717" s="7" t="n"/>
      <c r="C717" s="15" t="n"/>
      <c r="D717" s="15" t="n"/>
      <c r="E717" s="7" t="n"/>
      <c r="F717" s="12">
        <f>IF(OR(C717="",D717=""),"",ROUND(MOD(D717-C717,1)*24,2))</f>
        <v/>
      </c>
      <c r="G717" s="7" t="n"/>
      <c r="H717" s="17">
        <f>IF(OR(A717="",B717=""),"",IF(COUNTIFS('Lançamentos Diários'!$A$5:$A$504,A717,'Lançamentos Diários'!$B$5:$B$504,B717)&gt;0,"OK","FALTA LANÇAMENTO"))</f>
        <v/>
      </c>
    </row>
    <row r="718">
      <c r="A718" s="14" t="n"/>
      <c r="B718" s="7" t="n"/>
      <c r="C718" s="15" t="n"/>
      <c r="D718" s="15" t="n"/>
      <c r="E718" s="7" t="n"/>
      <c r="F718" s="12">
        <f>IF(OR(C718="",D718=""),"",ROUND(MOD(D718-C718,1)*24,2))</f>
        <v/>
      </c>
      <c r="G718" s="7" t="n"/>
      <c r="H718" s="17">
        <f>IF(OR(A718="",B718=""),"",IF(COUNTIFS('Lançamentos Diários'!$A$5:$A$504,A718,'Lançamentos Diários'!$B$5:$B$504,B718)&gt;0,"OK","FALTA LANÇAMENTO"))</f>
        <v/>
      </c>
    </row>
    <row r="719">
      <c r="A719" s="14" t="n"/>
      <c r="B719" s="7" t="n"/>
      <c r="C719" s="15" t="n"/>
      <c r="D719" s="15" t="n"/>
      <c r="E719" s="7" t="n"/>
      <c r="F719" s="12">
        <f>IF(OR(C719="",D719=""),"",ROUND(MOD(D719-C719,1)*24,2))</f>
        <v/>
      </c>
      <c r="G719" s="7" t="n"/>
      <c r="H719" s="17">
        <f>IF(OR(A719="",B719=""),"",IF(COUNTIFS('Lançamentos Diários'!$A$5:$A$504,A719,'Lançamentos Diários'!$B$5:$B$504,B719)&gt;0,"OK","FALTA LANÇAMENTO"))</f>
        <v/>
      </c>
    </row>
    <row r="720">
      <c r="A720" s="14" t="n"/>
      <c r="B720" s="7" t="n"/>
      <c r="C720" s="15" t="n"/>
      <c r="D720" s="15" t="n"/>
      <c r="E720" s="7" t="n"/>
      <c r="F720" s="12">
        <f>IF(OR(C720="",D720=""),"",ROUND(MOD(D720-C720,1)*24,2))</f>
        <v/>
      </c>
      <c r="G720" s="7" t="n"/>
      <c r="H720" s="17">
        <f>IF(OR(A720="",B720=""),"",IF(COUNTIFS('Lançamentos Diários'!$A$5:$A$504,A720,'Lançamentos Diários'!$B$5:$B$504,B720)&gt;0,"OK","FALTA LANÇAMENTO"))</f>
        <v/>
      </c>
    </row>
    <row r="721">
      <c r="A721" s="14" t="n"/>
      <c r="B721" s="7" t="n"/>
      <c r="C721" s="15" t="n"/>
      <c r="D721" s="15" t="n"/>
      <c r="E721" s="7" t="n"/>
      <c r="F721" s="12">
        <f>IF(OR(C721="",D721=""),"",ROUND(MOD(D721-C721,1)*24,2))</f>
        <v/>
      </c>
      <c r="G721" s="7" t="n"/>
      <c r="H721" s="17">
        <f>IF(OR(A721="",B721=""),"",IF(COUNTIFS('Lançamentos Diários'!$A$5:$A$504,A721,'Lançamentos Diários'!$B$5:$B$504,B721)&gt;0,"OK","FALTA LANÇAMENTO"))</f>
        <v/>
      </c>
    </row>
    <row r="722">
      <c r="A722" s="14" t="n"/>
      <c r="B722" s="7" t="n"/>
      <c r="C722" s="15" t="n"/>
      <c r="D722" s="15" t="n"/>
      <c r="E722" s="7" t="n"/>
      <c r="F722" s="12">
        <f>IF(OR(C722="",D722=""),"",ROUND(MOD(D722-C722,1)*24,2))</f>
        <v/>
      </c>
      <c r="G722" s="7" t="n"/>
      <c r="H722" s="17">
        <f>IF(OR(A722="",B722=""),"",IF(COUNTIFS('Lançamentos Diários'!$A$5:$A$504,A722,'Lançamentos Diários'!$B$5:$B$504,B722)&gt;0,"OK","FALTA LANÇAMENTO"))</f>
        <v/>
      </c>
    </row>
    <row r="723">
      <c r="A723" s="14" t="n"/>
      <c r="B723" s="7" t="n"/>
      <c r="C723" s="15" t="n"/>
      <c r="D723" s="15" t="n"/>
      <c r="E723" s="7" t="n"/>
      <c r="F723" s="12">
        <f>IF(OR(C723="",D723=""),"",ROUND(MOD(D723-C723,1)*24,2))</f>
        <v/>
      </c>
      <c r="G723" s="7" t="n"/>
      <c r="H723" s="17">
        <f>IF(OR(A723="",B723=""),"",IF(COUNTIFS('Lançamentos Diários'!$A$5:$A$504,A723,'Lançamentos Diários'!$B$5:$B$504,B723)&gt;0,"OK","FALTA LANÇAMENTO"))</f>
        <v/>
      </c>
    </row>
    <row r="724">
      <c r="A724" s="14" t="n"/>
      <c r="B724" s="7" t="n"/>
      <c r="C724" s="15" t="n"/>
      <c r="D724" s="15" t="n"/>
      <c r="E724" s="7" t="n"/>
      <c r="F724" s="12">
        <f>IF(OR(C724="",D724=""),"",ROUND(MOD(D724-C724,1)*24,2))</f>
        <v/>
      </c>
      <c r="G724" s="7" t="n"/>
      <c r="H724" s="17">
        <f>IF(OR(A724="",B724=""),"",IF(COUNTIFS('Lançamentos Diários'!$A$5:$A$504,A724,'Lançamentos Diários'!$B$5:$B$504,B724)&gt;0,"OK","FALTA LANÇAMENTO"))</f>
        <v/>
      </c>
    </row>
    <row r="725">
      <c r="A725" s="14" t="n"/>
      <c r="B725" s="7" t="n"/>
      <c r="C725" s="15" t="n"/>
      <c r="D725" s="15" t="n"/>
      <c r="E725" s="7" t="n"/>
      <c r="F725" s="12">
        <f>IF(OR(C725="",D725=""),"",ROUND(MOD(D725-C725,1)*24,2))</f>
        <v/>
      </c>
      <c r="G725" s="7" t="n"/>
      <c r="H725" s="17">
        <f>IF(OR(A725="",B725=""),"",IF(COUNTIFS('Lançamentos Diários'!$A$5:$A$504,A725,'Lançamentos Diários'!$B$5:$B$504,B725)&gt;0,"OK","FALTA LANÇAMENTO"))</f>
        <v/>
      </c>
    </row>
    <row r="726">
      <c r="A726" s="14" t="n"/>
      <c r="B726" s="7" t="n"/>
      <c r="C726" s="15" t="n"/>
      <c r="D726" s="15" t="n"/>
      <c r="E726" s="7" t="n"/>
      <c r="F726" s="12">
        <f>IF(OR(C726="",D726=""),"",ROUND(MOD(D726-C726,1)*24,2))</f>
        <v/>
      </c>
      <c r="G726" s="7" t="n"/>
      <c r="H726" s="17">
        <f>IF(OR(A726="",B726=""),"",IF(COUNTIFS('Lançamentos Diários'!$A$5:$A$504,A726,'Lançamentos Diários'!$B$5:$B$504,B726)&gt;0,"OK","FALTA LANÇAMENTO"))</f>
        <v/>
      </c>
    </row>
    <row r="727">
      <c r="A727" s="14" t="n"/>
      <c r="B727" s="7" t="n"/>
      <c r="C727" s="15" t="n"/>
      <c r="D727" s="15" t="n"/>
      <c r="E727" s="7" t="n"/>
      <c r="F727" s="12">
        <f>IF(OR(C727="",D727=""),"",ROUND(MOD(D727-C727,1)*24,2))</f>
        <v/>
      </c>
      <c r="G727" s="7" t="n"/>
      <c r="H727" s="17">
        <f>IF(OR(A727="",B727=""),"",IF(COUNTIFS('Lançamentos Diários'!$A$5:$A$504,A727,'Lançamentos Diários'!$B$5:$B$504,B727)&gt;0,"OK","FALTA LANÇAMENTO"))</f>
        <v/>
      </c>
    </row>
    <row r="728">
      <c r="A728" s="14" t="n"/>
      <c r="B728" s="7" t="n"/>
      <c r="C728" s="15" t="n"/>
      <c r="D728" s="15" t="n"/>
      <c r="E728" s="7" t="n"/>
      <c r="F728" s="12">
        <f>IF(OR(C728="",D728=""),"",ROUND(MOD(D728-C728,1)*24,2))</f>
        <v/>
      </c>
      <c r="G728" s="7" t="n"/>
      <c r="H728" s="17">
        <f>IF(OR(A728="",B728=""),"",IF(COUNTIFS('Lançamentos Diários'!$A$5:$A$504,A728,'Lançamentos Diários'!$B$5:$B$504,B728)&gt;0,"OK","FALTA LANÇAMENTO"))</f>
        <v/>
      </c>
    </row>
    <row r="729">
      <c r="A729" s="14" t="n"/>
      <c r="B729" s="7" t="n"/>
      <c r="C729" s="15" t="n"/>
      <c r="D729" s="15" t="n"/>
      <c r="E729" s="7" t="n"/>
      <c r="F729" s="12">
        <f>IF(OR(C729="",D729=""),"",ROUND(MOD(D729-C729,1)*24,2))</f>
        <v/>
      </c>
      <c r="G729" s="7" t="n"/>
      <c r="H729" s="17">
        <f>IF(OR(A729="",B729=""),"",IF(COUNTIFS('Lançamentos Diários'!$A$5:$A$504,A729,'Lançamentos Diários'!$B$5:$B$504,B729)&gt;0,"OK","FALTA LANÇAMENTO"))</f>
        <v/>
      </c>
    </row>
    <row r="730">
      <c r="A730" s="14" t="n"/>
      <c r="B730" s="7" t="n"/>
      <c r="C730" s="15" t="n"/>
      <c r="D730" s="15" t="n"/>
      <c r="E730" s="7" t="n"/>
      <c r="F730" s="12">
        <f>IF(OR(C730="",D730=""),"",ROUND(MOD(D730-C730,1)*24,2))</f>
        <v/>
      </c>
      <c r="G730" s="7" t="n"/>
      <c r="H730" s="17">
        <f>IF(OR(A730="",B730=""),"",IF(COUNTIFS('Lançamentos Diários'!$A$5:$A$504,A730,'Lançamentos Diários'!$B$5:$B$504,B730)&gt;0,"OK","FALTA LANÇAMENTO"))</f>
        <v/>
      </c>
    </row>
    <row r="731">
      <c r="A731" s="14" t="n"/>
      <c r="B731" s="7" t="n"/>
      <c r="C731" s="15" t="n"/>
      <c r="D731" s="15" t="n"/>
      <c r="E731" s="7" t="n"/>
      <c r="F731" s="12">
        <f>IF(OR(C731="",D731=""),"",ROUND(MOD(D731-C731,1)*24,2))</f>
        <v/>
      </c>
      <c r="G731" s="7" t="n"/>
      <c r="H731" s="17">
        <f>IF(OR(A731="",B731=""),"",IF(COUNTIFS('Lançamentos Diários'!$A$5:$A$504,A731,'Lançamentos Diários'!$B$5:$B$504,B731)&gt;0,"OK","FALTA LANÇAMENTO"))</f>
        <v/>
      </c>
    </row>
    <row r="732">
      <c r="A732" s="14" t="n"/>
      <c r="B732" s="7" t="n"/>
      <c r="C732" s="15" t="n"/>
      <c r="D732" s="15" t="n"/>
      <c r="E732" s="7" t="n"/>
      <c r="F732" s="12">
        <f>IF(OR(C732="",D732=""),"",ROUND(MOD(D732-C732,1)*24,2))</f>
        <v/>
      </c>
      <c r="G732" s="7" t="n"/>
      <c r="H732" s="17">
        <f>IF(OR(A732="",B732=""),"",IF(COUNTIFS('Lançamentos Diários'!$A$5:$A$504,A732,'Lançamentos Diários'!$B$5:$B$504,B732)&gt;0,"OK","FALTA LANÇAMENTO"))</f>
        <v/>
      </c>
    </row>
    <row r="733">
      <c r="A733" s="14" t="n"/>
      <c r="B733" s="7" t="n"/>
      <c r="C733" s="15" t="n"/>
      <c r="D733" s="15" t="n"/>
      <c r="E733" s="7" t="n"/>
      <c r="F733" s="12">
        <f>IF(OR(C733="",D733=""),"",ROUND(MOD(D733-C733,1)*24,2))</f>
        <v/>
      </c>
      <c r="G733" s="7" t="n"/>
      <c r="H733" s="17">
        <f>IF(OR(A733="",B733=""),"",IF(COUNTIFS('Lançamentos Diários'!$A$5:$A$504,A733,'Lançamentos Diários'!$B$5:$B$504,B733)&gt;0,"OK","FALTA LANÇAMENTO"))</f>
        <v/>
      </c>
    </row>
    <row r="734">
      <c r="A734" s="14" t="n"/>
      <c r="B734" s="7" t="n"/>
      <c r="C734" s="15" t="n"/>
      <c r="D734" s="15" t="n"/>
      <c r="E734" s="7" t="n"/>
      <c r="F734" s="12">
        <f>IF(OR(C734="",D734=""),"",ROUND(MOD(D734-C734,1)*24,2))</f>
        <v/>
      </c>
      <c r="G734" s="7" t="n"/>
      <c r="H734" s="17">
        <f>IF(OR(A734="",B734=""),"",IF(COUNTIFS('Lançamentos Diários'!$A$5:$A$504,A734,'Lançamentos Diários'!$B$5:$B$504,B734)&gt;0,"OK","FALTA LANÇAMENTO"))</f>
        <v/>
      </c>
    </row>
    <row r="735">
      <c r="A735" s="14" t="n"/>
      <c r="B735" s="7" t="n"/>
      <c r="C735" s="15" t="n"/>
      <c r="D735" s="15" t="n"/>
      <c r="E735" s="7" t="n"/>
      <c r="F735" s="12">
        <f>IF(OR(C735="",D735=""),"",ROUND(MOD(D735-C735,1)*24,2))</f>
        <v/>
      </c>
      <c r="G735" s="7" t="n"/>
      <c r="H735" s="17">
        <f>IF(OR(A735="",B735=""),"",IF(COUNTIFS('Lançamentos Diários'!$A$5:$A$504,A735,'Lançamentos Diários'!$B$5:$B$504,B735)&gt;0,"OK","FALTA LANÇAMENTO"))</f>
        <v/>
      </c>
    </row>
    <row r="736">
      <c r="A736" s="14" t="n"/>
      <c r="B736" s="7" t="n"/>
      <c r="C736" s="15" t="n"/>
      <c r="D736" s="15" t="n"/>
      <c r="E736" s="7" t="n"/>
      <c r="F736" s="12">
        <f>IF(OR(C736="",D736=""),"",ROUND(MOD(D736-C736,1)*24,2))</f>
        <v/>
      </c>
      <c r="G736" s="7" t="n"/>
      <c r="H736" s="17">
        <f>IF(OR(A736="",B736=""),"",IF(COUNTIFS('Lançamentos Diários'!$A$5:$A$504,A736,'Lançamentos Diários'!$B$5:$B$504,B736)&gt;0,"OK","FALTA LANÇAMENTO"))</f>
        <v/>
      </c>
    </row>
    <row r="737">
      <c r="A737" s="14" t="n"/>
      <c r="B737" s="7" t="n"/>
      <c r="C737" s="15" t="n"/>
      <c r="D737" s="15" t="n"/>
      <c r="E737" s="7" t="n"/>
      <c r="F737" s="12">
        <f>IF(OR(C737="",D737=""),"",ROUND(MOD(D737-C737,1)*24,2))</f>
        <v/>
      </c>
      <c r="G737" s="7" t="n"/>
      <c r="H737" s="17">
        <f>IF(OR(A737="",B737=""),"",IF(COUNTIFS('Lançamentos Diários'!$A$5:$A$504,A737,'Lançamentos Diários'!$B$5:$B$504,B737)&gt;0,"OK","FALTA LANÇAMENTO"))</f>
        <v/>
      </c>
    </row>
    <row r="738">
      <c r="A738" s="14" t="n"/>
      <c r="B738" s="7" t="n"/>
      <c r="C738" s="15" t="n"/>
      <c r="D738" s="15" t="n"/>
      <c r="E738" s="7" t="n"/>
      <c r="F738" s="12">
        <f>IF(OR(C738="",D738=""),"",ROUND(MOD(D738-C738,1)*24,2))</f>
        <v/>
      </c>
      <c r="G738" s="7" t="n"/>
      <c r="H738" s="17">
        <f>IF(OR(A738="",B738=""),"",IF(COUNTIFS('Lançamentos Diários'!$A$5:$A$504,A738,'Lançamentos Diários'!$B$5:$B$504,B738)&gt;0,"OK","FALTA LANÇAMENTO"))</f>
        <v/>
      </c>
    </row>
    <row r="739">
      <c r="A739" s="14" t="n"/>
      <c r="B739" s="7" t="n"/>
      <c r="C739" s="15" t="n"/>
      <c r="D739" s="15" t="n"/>
      <c r="E739" s="7" t="n"/>
      <c r="F739" s="12">
        <f>IF(OR(C739="",D739=""),"",ROUND(MOD(D739-C739,1)*24,2))</f>
        <v/>
      </c>
      <c r="G739" s="7" t="n"/>
      <c r="H739" s="17">
        <f>IF(OR(A739="",B739=""),"",IF(COUNTIFS('Lançamentos Diários'!$A$5:$A$504,A739,'Lançamentos Diários'!$B$5:$B$504,B739)&gt;0,"OK","FALTA LANÇAMENTO"))</f>
        <v/>
      </c>
    </row>
    <row r="740">
      <c r="A740" s="14" t="n"/>
      <c r="B740" s="7" t="n"/>
      <c r="C740" s="15" t="n"/>
      <c r="D740" s="15" t="n"/>
      <c r="E740" s="7" t="n"/>
      <c r="F740" s="12">
        <f>IF(OR(C740="",D740=""),"",ROUND(MOD(D740-C740,1)*24,2))</f>
        <v/>
      </c>
      <c r="G740" s="7" t="n"/>
      <c r="H740" s="17">
        <f>IF(OR(A740="",B740=""),"",IF(COUNTIFS('Lançamentos Diários'!$A$5:$A$504,A740,'Lançamentos Diários'!$B$5:$B$504,B740)&gt;0,"OK","FALTA LANÇAMENTO"))</f>
        <v/>
      </c>
    </row>
    <row r="741">
      <c r="A741" s="14" t="n"/>
      <c r="B741" s="7" t="n"/>
      <c r="C741" s="15" t="n"/>
      <c r="D741" s="15" t="n"/>
      <c r="E741" s="7" t="n"/>
      <c r="F741" s="12">
        <f>IF(OR(C741="",D741=""),"",ROUND(MOD(D741-C741,1)*24,2))</f>
        <v/>
      </c>
      <c r="G741" s="7" t="n"/>
      <c r="H741" s="17">
        <f>IF(OR(A741="",B741=""),"",IF(COUNTIFS('Lançamentos Diários'!$A$5:$A$504,A741,'Lançamentos Diários'!$B$5:$B$504,B741)&gt;0,"OK","FALTA LANÇAMENTO"))</f>
        <v/>
      </c>
    </row>
    <row r="742">
      <c r="A742" s="14" t="n"/>
      <c r="B742" s="7" t="n"/>
      <c r="C742" s="15" t="n"/>
      <c r="D742" s="15" t="n"/>
      <c r="E742" s="7" t="n"/>
      <c r="F742" s="12">
        <f>IF(OR(C742="",D742=""),"",ROUND(MOD(D742-C742,1)*24,2))</f>
        <v/>
      </c>
      <c r="G742" s="7" t="n"/>
      <c r="H742" s="17">
        <f>IF(OR(A742="",B742=""),"",IF(COUNTIFS('Lançamentos Diários'!$A$5:$A$504,A742,'Lançamentos Diários'!$B$5:$B$504,B742)&gt;0,"OK","FALTA LANÇAMENTO"))</f>
        <v/>
      </c>
    </row>
    <row r="743">
      <c r="A743" s="14" t="n"/>
      <c r="B743" s="7" t="n"/>
      <c r="C743" s="15" t="n"/>
      <c r="D743" s="15" t="n"/>
      <c r="E743" s="7" t="n"/>
      <c r="F743" s="12">
        <f>IF(OR(C743="",D743=""),"",ROUND(MOD(D743-C743,1)*24,2))</f>
        <v/>
      </c>
      <c r="G743" s="7" t="n"/>
      <c r="H743" s="17">
        <f>IF(OR(A743="",B743=""),"",IF(COUNTIFS('Lançamentos Diários'!$A$5:$A$504,A743,'Lançamentos Diários'!$B$5:$B$504,B743)&gt;0,"OK","FALTA LANÇAMENTO"))</f>
        <v/>
      </c>
    </row>
    <row r="744">
      <c r="A744" s="14" t="n"/>
      <c r="B744" s="7" t="n"/>
      <c r="C744" s="15" t="n"/>
      <c r="D744" s="15" t="n"/>
      <c r="E744" s="7" t="n"/>
      <c r="F744" s="12">
        <f>IF(OR(C744="",D744=""),"",ROUND(MOD(D744-C744,1)*24,2))</f>
        <v/>
      </c>
      <c r="G744" s="7" t="n"/>
      <c r="H744" s="17">
        <f>IF(OR(A744="",B744=""),"",IF(COUNTIFS('Lançamentos Diários'!$A$5:$A$504,A744,'Lançamentos Diários'!$B$5:$B$504,B744)&gt;0,"OK","FALTA LANÇAMENTO"))</f>
        <v/>
      </c>
    </row>
    <row r="745">
      <c r="A745" s="14" t="n"/>
      <c r="B745" s="7" t="n"/>
      <c r="C745" s="15" t="n"/>
      <c r="D745" s="15" t="n"/>
      <c r="E745" s="7" t="n"/>
      <c r="F745" s="12">
        <f>IF(OR(C745="",D745=""),"",ROUND(MOD(D745-C745,1)*24,2))</f>
        <v/>
      </c>
      <c r="G745" s="7" t="n"/>
      <c r="H745" s="17">
        <f>IF(OR(A745="",B745=""),"",IF(COUNTIFS('Lançamentos Diários'!$A$5:$A$504,A745,'Lançamentos Diários'!$B$5:$B$504,B745)&gt;0,"OK","FALTA LANÇAMENTO"))</f>
        <v/>
      </c>
    </row>
    <row r="746">
      <c r="A746" s="14" t="n"/>
      <c r="B746" s="7" t="n"/>
      <c r="C746" s="15" t="n"/>
      <c r="D746" s="15" t="n"/>
      <c r="E746" s="7" t="n"/>
      <c r="F746" s="12">
        <f>IF(OR(C746="",D746=""),"",ROUND(MOD(D746-C746,1)*24,2))</f>
        <v/>
      </c>
      <c r="G746" s="7" t="n"/>
      <c r="H746" s="17">
        <f>IF(OR(A746="",B746=""),"",IF(COUNTIFS('Lançamentos Diários'!$A$5:$A$504,A746,'Lançamentos Diários'!$B$5:$B$504,B746)&gt;0,"OK","FALTA LANÇAMENTO"))</f>
        <v/>
      </c>
    </row>
    <row r="747">
      <c r="A747" s="14" t="n"/>
      <c r="B747" s="7" t="n"/>
      <c r="C747" s="15" t="n"/>
      <c r="D747" s="15" t="n"/>
      <c r="E747" s="7" t="n"/>
      <c r="F747" s="12">
        <f>IF(OR(C747="",D747=""),"",ROUND(MOD(D747-C747,1)*24,2))</f>
        <v/>
      </c>
      <c r="G747" s="7" t="n"/>
      <c r="H747" s="17">
        <f>IF(OR(A747="",B747=""),"",IF(COUNTIFS('Lançamentos Diários'!$A$5:$A$504,A747,'Lançamentos Diários'!$B$5:$B$504,B747)&gt;0,"OK","FALTA LANÇAMENTO"))</f>
        <v/>
      </c>
    </row>
    <row r="748">
      <c r="A748" s="14" t="n"/>
      <c r="B748" s="7" t="n"/>
      <c r="C748" s="15" t="n"/>
      <c r="D748" s="15" t="n"/>
      <c r="E748" s="7" t="n"/>
      <c r="F748" s="12">
        <f>IF(OR(C748="",D748=""),"",ROUND(MOD(D748-C748,1)*24,2))</f>
        <v/>
      </c>
      <c r="G748" s="7" t="n"/>
      <c r="H748" s="17">
        <f>IF(OR(A748="",B748=""),"",IF(COUNTIFS('Lançamentos Diários'!$A$5:$A$504,A748,'Lançamentos Diários'!$B$5:$B$504,B748)&gt;0,"OK","FALTA LANÇAMENTO"))</f>
        <v/>
      </c>
    </row>
    <row r="749">
      <c r="A749" s="14" t="n"/>
      <c r="B749" s="7" t="n"/>
      <c r="C749" s="15" t="n"/>
      <c r="D749" s="15" t="n"/>
      <c r="E749" s="7" t="n"/>
      <c r="F749" s="12">
        <f>IF(OR(C749="",D749=""),"",ROUND(MOD(D749-C749,1)*24,2))</f>
        <v/>
      </c>
      <c r="G749" s="7" t="n"/>
      <c r="H749" s="17">
        <f>IF(OR(A749="",B749=""),"",IF(COUNTIFS('Lançamentos Diários'!$A$5:$A$504,A749,'Lançamentos Diários'!$B$5:$B$504,B749)&gt;0,"OK","FALTA LANÇAMENTO"))</f>
        <v/>
      </c>
    </row>
    <row r="750">
      <c r="A750" s="14" t="n"/>
      <c r="B750" s="7" t="n"/>
      <c r="C750" s="15" t="n"/>
      <c r="D750" s="15" t="n"/>
      <c r="E750" s="7" t="n"/>
      <c r="F750" s="12">
        <f>IF(OR(C750="",D750=""),"",ROUND(MOD(D750-C750,1)*24,2))</f>
        <v/>
      </c>
      <c r="G750" s="7" t="n"/>
      <c r="H750" s="17">
        <f>IF(OR(A750="",B750=""),"",IF(COUNTIFS('Lançamentos Diários'!$A$5:$A$504,A750,'Lançamentos Diários'!$B$5:$B$504,B750)&gt;0,"OK","FALTA LANÇAMENTO"))</f>
        <v/>
      </c>
    </row>
    <row r="751">
      <c r="A751" s="14" t="n"/>
      <c r="B751" s="7" t="n"/>
      <c r="C751" s="15" t="n"/>
      <c r="D751" s="15" t="n"/>
      <c r="E751" s="7" t="n"/>
      <c r="F751" s="12">
        <f>IF(OR(C751="",D751=""),"",ROUND(MOD(D751-C751,1)*24,2))</f>
        <v/>
      </c>
      <c r="G751" s="7" t="n"/>
      <c r="H751" s="17">
        <f>IF(OR(A751="",B751=""),"",IF(COUNTIFS('Lançamentos Diários'!$A$5:$A$504,A751,'Lançamentos Diários'!$B$5:$B$504,B751)&gt;0,"OK","FALTA LANÇAMENTO"))</f>
        <v/>
      </c>
    </row>
    <row r="752">
      <c r="A752" s="14" t="n"/>
      <c r="B752" s="7" t="n"/>
      <c r="C752" s="15" t="n"/>
      <c r="D752" s="15" t="n"/>
      <c r="E752" s="7" t="n"/>
      <c r="F752" s="12">
        <f>IF(OR(C752="",D752=""),"",ROUND(MOD(D752-C752,1)*24,2))</f>
        <v/>
      </c>
      <c r="G752" s="7" t="n"/>
      <c r="H752" s="17">
        <f>IF(OR(A752="",B752=""),"",IF(COUNTIFS('Lançamentos Diários'!$A$5:$A$504,A752,'Lançamentos Diários'!$B$5:$B$504,B752)&gt;0,"OK","FALTA LANÇAMENTO"))</f>
        <v/>
      </c>
    </row>
    <row r="753">
      <c r="A753" s="14" t="n"/>
      <c r="B753" s="7" t="n"/>
      <c r="C753" s="15" t="n"/>
      <c r="D753" s="15" t="n"/>
      <c r="E753" s="7" t="n"/>
      <c r="F753" s="12">
        <f>IF(OR(C753="",D753=""),"",ROUND(MOD(D753-C753,1)*24,2))</f>
        <v/>
      </c>
      <c r="G753" s="7" t="n"/>
      <c r="H753" s="17">
        <f>IF(OR(A753="",B753=""),"",IF(COUNTIFS('Lançamentos Diários'!$A$5:$A$504,A753,'Lançamentos Diários'!$B$5:$B$504,B753)&gt;0,"OK","FALTA LANÇAMENTO"))</f>
        <v/>
      </c>
    </row>
    <row r="754">
      <c r="A754" s="14" t="n"/>
      <c r="B754" s="7" t="n"/>
      <c r="C754" s="15" t="n"/>
      <c r="D754" s="15" t="n"/>
      <c r="E754" s="7" t="n"/>
      <c r="F754" s="12">
        <f>IF(OR(C754="",D754=""),"",ROUND(MOD(D754-C754,1)*24,2))</f>
        <v/>
      </c>
      <c r="G754" s="7" t="n"/>
      <c r="H754" s="17">
        <f>IF(OR(A754="",B754=""),"",IF(COUNTIFS('Lançamentos Diários'!$A$5:$A$504,A754,'Lançamentos Diários'!$B$5:$B$504,B754)&gt;0,"OK","FALTA LANÇAMENTO"))</f>
        <v/>
      </c>
    </row>
    <row r="755">
      <c r="A755" s="14" t="n"/>
      <c r="B755" s="7" t="n"/>
      <c r="C755" s="15" t="n"/>
      <c r="D755" s="15" t="n"/>
      <c r="E755" s="7" t="n"/>
      <c r="F755" s="12">
        <f>IF(OR(C755="",D755=""),"",ROUND(MOD(D755-C755,1)*24,2))</f>
        <v/>
      </c>
      <c r="G755" s="7" t="n"/>
      <c r="H755" s="17">
        <f>IF(OR(A755="",B755=""),"",IF(COUNTIFS('Lançamentos Diários'!$A$5:$A$504,A755,'Lançamentos Diários'!$B$5:$B$504,B755)&gt;0,"OK","FALTA LANÇAMENTO"))</f>
        <v/>
      </c>
    </row>
    <row r="756">
      <c r="A756" s="14" t="n"/>
      <c r="B756" s="7" t="n"/>
      <c r="C756" s="15" t="n"/>
      <c r="D756" s="15" t="n"/>
      <c r="E756" s="7" t="n"/>
      <c r="F756" s="12">
        <f>IF(OR(C756="",D756=""),"",ROUND(MOD(D756-C756,1)*24,2))</f>
        <v/>
      </c>
      <c r="G756" s="7" t="n"/>
      <c r="H756" s="17">
        <f>IF(OR(A756="",B756=""),"",IF(COUNTIFS('Lançamentos Diários'!$A$5:$A$504,A756,'Lançamentos Diários'!$B$5:$B$504,B756)&gt;0,"OK","FALTA LANÇAMENTO"))</f>
        <v/>
      </c>
    </row>
    <row r="757">
      <c r="A757" s="14" t="n"/>
      <c r="B757" s="7" t="n"/>
      <c r="C757" s="15" t="n"/>
      <c r="D757" s="15" t="n"/>
      <c r="E757" s="7" t="n"/>
      <c r="F757" s="12">
        <f>IF(OR(C757="",D757=""),"",ROUND(MOD(D757-C757,1)*24,2))</f>
        <v/>
      </c>
      <c r="G757" s="7" t="n"/>
      <c r="H757" s="17">
        <f>IF(OR(A757="",B757=""),"",IF(COUNTIFS('Lançamentos Diários'!$A$5:$A$504,A757,'Lançamentos Diários'!$B$5:$B$504,B757)&gt;0,"OK","FALTA LANÇAMENTO"))</f>
        <v/>
      </c>
    </row>
    <row r="758">
      <c r="A758" s="14" t="n"/>
      <c r="B758" s="7" t="n"/>
      <c r="C758" s="15" t="n"/>
      <c r="D758" s="15" t="n"/>
      <c r="E758" s="7" t="n"/>
      <c r="F758" s="12">
        <f>IF(OR(C758="",D758=""),"",ROUND(MOD(D758-C758,1)*24,2))</f>
        <v/>
      </c>
      <c r="G758" s="7" t="n"/>
      <c r="H758" s="17">
        <f>IF(OR(A758="",B758=""),"",IF(COUNTIFS('Lançamentos Diários'!$A$5:$A$504,A758,'Lançamentos Diários'!$B$5:$B$504,B758)&gt;0,"OK","FALTA LANÇAMENTO"))</f>
        <v/>
      </c>
    </row>
    <row r="759">
      <c r="A759" s="14" t="n"/>
      <c r="B759" s="7" t="n"/>
      <c r="C759" s="15" t="n"/>
      <c r="D759" s="15" t="n"/>
      <c r="E759" s="7" t="n"/>
      <c r="F759" s="12">
        <f>IF(OR(C759="",D759=""),"",ROUND(MOD(D759-C759,1)*24,2))</f>
        <v/>
      </c>
      <c r="G759" s="7" t="n"/>
      <c r="H759" s="17">
        <f>IF(OR(A759="",B759=""),"",IF(COUNTIFS('Lançamentos Diários'!$A$5:$A$504,A759,'Lançamentos Diários'!$B$5:$B$504,B759)&gt;0,"OK","FALTA LANÇAMENTO"))</f>
        <v/>
      </c>
    </row>
    <row r="760">
      <c r="A760" s="14" t="n"/>
      <c r="B760" s="7" t="n"/>
      <c r="C760" s="15" t="n"/>
      <c r="D760" s="15" t="n"/>
      <c r="E760" s="7" t="n"/>
      <c r="F760" s="12">
        <f>IF(OR(C760="",D760=""),"",ROUND(MOD(D760-C760,1)*24,2))</f>
        <v/>
      </c>
      <c r="G760" s="7" t="n"/>
      <c r="H760" s="17">
        <f>IF(OR(A760="",B760=""),"",IF(COUNTIFS('Lançamentos Diários'!$A$5:$A$504,A760,'Lançamentos Diários'!$B$5:$B$504,B760)&gt;0,"OK","FALTA LANÇAMENTO"))</f>
        <v/>
      </c>
    </row>
    <row r="761">
      <c r="A761" s="14" t="n"/>
      <c r="B761" s="7" t="n"/>
      <c r="C761" s="15" t="n"/>
      <c r="D761" s="15" t="n"/>
      <c r="E761" s="7" t="n"/>
      <c r="F761" s="12">
        <f>IF(OR(C761="",D761=""),"",ROUND(MOD(D761-C761,1)*24,2))</f>
        <v/>
      </c>
      <c r="G761" s="7" t="n"/>
      <c r="H761" s="17">
        <f>IF(OR(A761="",B761=""),"",IF(COUNTIFS('Lançamentos Diários'!$A$5:$A$504,A761,'Lançamentos Diários'!$B$5:$B$504,B761)&gt;0,"OK","FALTA LANÇAMENTO"))</f>
        <v/>
      </c>
    </row>
    <row r="762">
      <c r="A762" s="14" t="n"/>
      <c r="B762" s="7" t="n"/>
      <c r="C762" s="15" t="n"/>
      <c r="D762" s="15" t="n"/>
      <c r="E762" s="7" t="n"/>
      <c r="F762" s="12">
        <f>IF(OR(C762="",D762=""),"",ROUND(MOD(D762-C762,1)*24,2))</f>
        <v/>
      </c>
      <c r="G762" s="7" t="n"/>
      <c r="H762" s="17">
        <f>IF(OR(A762="",B762=""),"",IF(COUNTIFS('Lançamentos Diários'!$A$5:$A$504,A762,'Lançamentos Diários'!$B$5:$B$504,B762)&gt;0,"OK","FALTA LANÇAMENTO"))</f>
        <v/>
      </c>
    </row>
    <row r="763">
      <c r="A763" s="14" t="n"/>
      <c r="B763" s="7" t="n"/>
      <c r="C763" s="15" t="n"/>
      <c r="D763" s="15" t="n"/>
      <c r="E763" s="7" t="n"/>
      <c r="F763" s="12">
        <f>IF(OR(C763="",D763=""),"",ROUND(MOD(D763-C763,1)*24,2))</f>
        <v/>
      </c>
      <c r="G763" s="7" t="n"/>
      <c r="H763" s="17">
        <f>IF(OR(A763="",B763=""),"",IF(COUNTIFS('Lançamentos Diários'!$A$5:$A$504,A763,'Lançamentos Diários'!$B$5:$B$504,B763)&gt;0,"OK","FALTA LANÇAMENTO"))</f>
        <v/>
      </c>
    </row>
    <row r="764">
      <c r="A764" s="14" t="n"/>
      <c r="B764" s="7" t="n"/>
      <c r="C764" s="15" t="n"/>
      <c r="D764" s="15" t="n"/>
      <c r="E764" s="7" t="n"/>
      <c r="F764" s="12">
        <f>IF(OR(C764="",D764=""),"",ROUND(MOD(D764-C764,1)*24,2))</f>
        <v/>
      </c>
      <c r="G764" s="7" t="n"/>
      <c r="H764" s="17">
        <f>IF(OR(A764="",B764=""),"",IF(COUNTIFS('Lançamentos Diários'!$A$5:$A$504,A764,'Lançamentos Diários'!$B$5:$B$504,B764)&gt;0,"OK","FALTA LANÇAMENTO"))</f>
        <v/>
      </c>
    </row>
    <row r="765">
      <c r="A765" s="14" t="n"/>
      <c r="B765" s="7" t="n"/>
      <c r="C765" s="15" t="n"/>
      <c r="D765" s="15" t="n"/>
      <c r="E765" s="7" t="n"/>
      <c r="F765" s="12">
        <f>IF(OR(C765="",D765=""),"",ROUND(MOD(D765-C765,1)*24,2))</f>
        <v/>
      </c>
      <c r="G765" s="7" t="n"/>
      <c r="H765" s="17">
        <f>IF(OR(A765="",B765=""),"",IF(COUNTIFS('Lançamentos Diários'!$A$5:$A$504,A765,'Lançamentos Diários'!$B$5:$B$504,B765)&gt;0,"OK","FALTA LANÇAMENTO"))</f>
        <v/>
      </c>
    </row>
    <row r="766">
      <c r="A766" s="14" t="n"/>
      <c r="B766" s="7" t="n"/>
      <c r="C766" s="15" t="n"/>
      <c r="D766" s="15" t="n"/>
      <c r="E766" s="7" t="n"/>
      <c r="F766" s="12">
        <f>IF(OR(C766="",D766=""),"",ROUND(MOD(D766-C766,1)*24,2))</f>
        <v/>
      </c>
      <c r="G766" s="7" t="n"/>
      <c r="H766" s="17">
        <f>IF(OR(A766="",B766=""),"",IF(COUNTIFS('Lançamentos Diários'!$A$5:$A$504,A766,'Lançamentos Diários'!$B$5:$B$504,B766)&gt;0,"OK","FALTA LANÇAMENTO"))</f>
        <v/>
      </c>
    </row>
    <row r="767">
      <c r="A767" s="14" t="n"/>
      <c r="B767" s="7" t="n"/>
      <c r="C767" s="15" t="n"/>
      <c r="D767" s="15" t="n"/>
      <c r="E767" s="7" t="n"/>
      <c r="F767" s="12">
        <f>IF(OR(C767="",D767=""),"",ROUND(MOD(D767-C767,1)*24,2))</f>
        <v/>
      </c>
      <c r="G767" s="7" t="n"/>
      <c r="H767" s="17">
        <f>IF(OR(A767="",B767=""),"",IF(COUNTIFS('Lançamentos Diários'!$A$5:$A$504,A767,'Lançamentos Diários'!$B$5:$B$504,B767)&gt;0,"OK","FALTA LANÇAMENTO"))</f>
        <v/>
      </c>
    </row>
    <row r="768">
      <c r="A768" s="14" t="n"/>
      <c r="B768" s="7" t="n"/>
      <c r="C768" s="15" t="n"/>
      <c r="D768" s="15" t="n"/>
      <c r="E768" s="7" t="n"/>
      <c r="F768" s="12">
        <f>IF(OR(C768="",D768=""),"",ROUND(MOD(D768-C768,1)*24,2))</f>
        <v/>
      </c>
      <c r="G768" s="7" t="n"/>
      <c r="H768" s="17">
        <f>IF(OR(A768="",B768=""),"",IF(COUNTIFS('Lançamentos Diários'!$A$5:$A$504,A768,'Lançamentos Diários'!$B$5:$B$504,B768)&gt;0,"OK","FALTA LANÇAMENTO"))</f>
        <v/>
      </c>
    </row>
    <row r="769">
      <c r="A769" s="14" t="n"/>
      <c r="B769" s="7" t="n"/>
      <c r="C769" s="15" t="n"/>
      <c r="D769" s="15" t="n"/>
      <c r="E769" s="7" t="n"/>
      <c r="F769" s="12">
        <f>IF(OR(C769="",D769=""),"",ROUND(MOD(D769-C769,1)*24,2))</f>
        <v/>
      </c>
      <c r="G769" s="7" t="n"/>
      <c r="H769" s="17">
        <f>IF(OR(A769="",B769=""),"",IF(COUNTIFS('Lançamentos Diários'!$A$5:$A$504,A769,'Lançamentos Diários'!$B$5:$B$504,B769)&gt;0,"OK","FALTA LANÇAMENTO"))</f>
        <v/>
      </c>
    </row>
    <row r="770">
      <c r="A770" s="14" t="n"/>
      <c r="B770" s="7" t="n"/>
      <c r="C770" s="15" t="n"/>
      <c r="D770" s="15" t="n"/>
      <c r="E770" s="7" t="n"/>
      <c r="F770" s="12">
        <f>IF(OR(C770="",D770=""),"",ROUND(MOD(D770-C770,1)*24,2))</f>
        <v/>
      </c>
      <c r="G770" s="7" t="n"/>
      <c r="H770" s="17">
        <f>IF(OR(A770="",B770=""),"",IF(COUNTIFS('Lançamentos Diários'!$A$5:$A$504,A770,'Lançamentos Diários'!$B$5:$B$504,B770)&gt;0,"OK","FALTA LANÇAMENTO"))</f>
        <v/>
      </c>
    </row>
    <row r="771">
      <c r="A771" s="14" t="n"/>
      <c r="B771" s="7" t="n"/>
      <c r="C771" s="15" t="n"/>
      <c r="D771" s="15" t="n"/>
      <c r="E771" s="7" t="n"/>
      <c r="F771" s="12">
        <f>IF(OR(C771="",D771=""),"",ROUND(MOD(D771-C771,1)*24,2))</f>
        <v/>
      </c>
      <c r="G771" s="7" t="n"/>
      <c r="H771" s="17">
        <f>IF(OR(A771="",B771=""),"",IF(COUNTIFS('Lançamentos Diários'!$A$5:$A$504,A771,'Lançamentos Diários'!$B$5:$B$504,B771)&gt;0,"OK","FALTA LANÇAMENTO"))</f>
        <v/>
      </c>
    </row>
    <row r="772">
      <c r="A772" s="14" t="n"/>
      <c r="B772" s="7" t="n"/>
      <c r="C772" s="15" t="n"/>
      <c r="D772" s="15" t="n"/>
      <c r="E772" s="7" t="n"/>
      <c r="F772" s="12">
        <f>IF(OR(C772="",D772=""),"",ROUND(MOD(D772-C772,1)*24,2))</f>
        <v/>
      </c>
      <c r="G772" s="7" t="n"/>
      <c r="H772" s="17">
        <f>IF(OR(A772="",B772=""),"",IF(COUNTIFS('Lançamentos Diários'!$A$5:$A$504,A772,'Lançamentos Diários'!$B$5:$B$504,B772)&gt;0,"OK","FALTA LANÇAMENTO"))</f>
        <v/>
      </c>
    </row>
    <row r="773">
      <c r="A773" s="14" t="n"/>
      <c r="B773" s="7" t="n"/>
      <c r="C773" s="15" t="n"/>
      <c r="D773" s="15" t="n"/>
      <c r="E773" s="7" t="n"/>
      <c r="F773" s="12">
        <f>IF(OR(C773="",D773=""),"",ROUND(MOD(D773-C773,1)*24,2))</f>
        <v/>
      </c>
      <c r="G773" s="7" t="n"/>
      <c r="H773" s="17">
        <f>IF(OR(A773="",B773=""),"",IF(COUNTIFS('Lançamentos Diários'!$A$5:$A$504,A773,'Lançamentos Diários'!$B$5:$B$504,B773)&gt;0,"OK","FALTA LANÇAMENTO"))</f>
        <v/>
      </c>
    </row>
    <row r="774">
      <c r="A774" s="14" t="n"/>
      <c r="B774" s="7" t="n"/>
      <c r="C774" s="15" t="n"/>
      <c r="D774" s="15" t="n"/>
      <c r="E774" s="7" t="n"/>
      <c r="F774" s="12">
        <f>IF(OR(C774="",D774=""),"",ROUND(MOD(D774-C774,1)*24,2))</f>
        <v/>
      </c>
      <c r="G774" s="7" t="n"/>
      <c r="H774" s="17">
        <f>IF(OR(A774="",B774=""),"",IF(COUNTIFS('Lançamentos Diários'!$A$5:$A$504,A774,'Lançamentos Diários'!$B$5:$B$504,B774)&gt;0,"OK","FALTA LANÇAMENTO"))</f>
        <v/>
      </c>
    </row>
    <row r="775">
      <c r="A775" s="14" t="n"/>
      <c r="B775" s="7" t="n"/>
      <c r="C775" s="15" t="n"/>
      <c r="D775" s="15" t="n"/>
      <c r="E775" s="7" t="n"/>
      <c r="F775" s="12">
        <f>IF(OR(C775="",D775=""),"",ROUND(MOD(D775-C775,1)*24,2))</f>
        <v/>
      </c>
      <c r="G775" s="7" t="n"/>
      <c r="H775" s="17">
        <f>IF(OR(A775="",B775=""),"",IF(COUNTIFS('Lançamentos Diários'!$A$5:$A$504,A775,'Lançamentos Diários'!$B$5:$B$504,B775)&gt;0,"OK","FALTA LANÇAMENTO"))</f>
        <v/>
      </c>
    </row>
    <row r="776">
      <c r="A776" s="14" t="n"/>
      <c r="B776" s="7" t="n"/>
      <c r="C776" s="15" t="n"/>
      <c r="D776" s="15" t="n"/>
      <c r="E776" s="7" t="n"/>
      <c r="F776" s="12">
        <f>IF(OR(C776="",D776=""),"",ROUND(MOD(D776-C776,1)*24,2))</f>
        <v/>
      </c>
      <c r="G776" s="7" t="n"/>
      <c r="H776" s="17">
        <f>IF(OR(A776="",B776=""),"",IF(COUNTIFS('Lançamentos Diários'!$A$5:$A$504,A776,'Lançamentos Diários'!$B$5:$B$504,B776)&gt;0,"OK","FALTA LANÇAMENTO"))</f>
        <v/>
      </c>
    </row>
    <row r="777">
      <c r="A777" s="14" t="n"/>
      <c r="B777" s="7" t="n"/>
      <c r="C777" s="15" t="n"/>
      <c r="D777" s="15" t="n"/>
      <c r="E777" s="7" t="n"/>
      <c r="F777" s="12">
        <f>IF(OR(C777="",D777=""),"",ROUND(MOD(D777-C777,1)*24,2))</f>
        <v/>
      </c>
      <c r="G777" s="7" t="n"/>
      <c r="H777" s="17">
        <f>IF(OR(A777="",B777=""),"",IF(COUNTIFS('Lançamentos Diários'!$A$5:$A$504,A777,'Lançamentos Diários'!$B$5:$B$504,B777)&gt;0,"OK","FALTA LANÇAMENTO"))</f>
        <v/>
      </c>
    </row>
    <row r="778">
      <c r="A778" s="14" t="n"/>
      <c r="B778" s="7" t="n"/>
      <c r="C778" s="15" t="n"/>
      <c r="D778" s="15" t="n"/>
      <c r="E778" s="7" t="n"/>
      <c r="F778" s="12">
        <f>IF(OR(C778="",D778=""),"",ROUND(MOD(D778-C778,1)*24,2))</f>
        <v/>
      </c>
      <c r="G778" s="7" t="n"/>
      <c r="H778" s="17">
        <f>IF(OR(A778="",B778=""),"",IF(COUNTIFS('Lançamentos Diários'!$A$5:$A$504,A778,'Lançamentos Diários'!$B$5:$B$504,B778)&gt;0,"OK","FALTA LANÇAMENTO"))</f>
        <v/>
      </c>
    </row>
    <row r="779">
      <c r="A779" s="14" t="n"/>
      <c r="B779" s="7" t="n"/>
      <c r="C779" s="15" t="n"/>
      <c r="D779" s="15" t="n"/>
      <c r="E779" s="7" t="n"/>
      <c r="F779" s="12">
        <f>IF(OR(C779="",D779=""),"",ROUND(MOD(D779-C779,1)*24,2))</f>
        <v/>
      </c>
      <c r="G779" s="7" t="n"/>
      <c r="H779" s="17">
        <f>IF(OR(A779="",B779=""),"",IF(COUNTIFS('Lançamentos Diários'!$A$5:$A$504,A779,'Lançamentos Diários'!$B$5:$B$504,B779)&gt;0,"OK","FALTA LANÇAMENTO"))</f>
        <v/>
      </c>
    </row>
    <row r="780">
      <c r="A780" s="14" t="n"/>
      <c r="B780" s="7" t="n"/>
      <c r="C780" s="15" t="n"/>
      <c r="D780" s="15" t="n"/>
      <c r="E780" s="7" t="n"/>
      <c r="F780" s="12">
        <f>IF(OR(C780="",D780=""),"",ROUND(MOD(D780-C780,1)*24,2))</f>
        <v/>
      </c>
      <c r="G780" s="7" t="n"/>
      <c r="H780" s="17">
        <f>IF(OR(A780="",B780=""),"",IF(COUNTIFS('Lançamentos Diários'!$A$5:$A$504,A780,'Lançamentos Diários'!$B$5:$B$504,B780)&gt;0,"OK","FALTA LANÇAMENTO"))</f>
        <v/>
      </c>
    </row>
    <row r="781">
      <c r="A781" s="14" t="n"/>
      <c r="B781" s="7" t="n"/>
      <c r="C781" s="15" t="n"/>
      <c r="D781" s="15" t="n"/>
      <c r="E781" s="7" t="n"/>
      <c r="F781" s="12">
        <f>IF(OR(C781="",D781=""),"",ROUND(MOD(D781-C781,1)*24,2))</f>
        <v/>
      </c>
      <c r="G781" s="7" t="n"/>
      <c r="H781" s="17">
        <f>IF(OR(A781="",B781=""),"",IF(COUNTIFS('Lançamentos Diários'!$A$5:$A$504,A781,'Lançamentos Diários'!$B$5:$B$504,B781)&gt;0,"OK","FALTA LANÇAMENTO"))</f>
        <v/>
      </c>
    </row>
    <row r="782">
      <c r="A782" s="14" t="n"/>
      <c r="B782" s="7" t="n"/>
      <c r="C782" s="15" t="n"/>
      <c r="D782" s="15" t="n"/>
      <c r="E782" s="7" t="n"/>
      <c r="F782" s="12">
        <f>IF(OR(C782="",D782=""),"",ROUND(MOD(D782-C782,1)*24,2))</f>
        <v/>
      </c>
      <c r="G782" s="7" t="n"/>
      <c r="H782" s="17">
        <f>IF(OR(A782="",B782=""),"",IF(COUNTIFS('Lançamentos Diários'!$A$5:$A$504,A782,'Lançamentos Diários'!$B$5:$B$504,B782)&gt;0,"OK","FALTA LANÇAMENTO"))</f>
        <v/>
      </c>
    </row>
    <row r="783">
      <c r="A783" s="14" t="n"/>
      <c r="B783" s="7" t="n"/>
      <c r="C783" s="15" t="n"/>
      <c r="D783" s="15" t="n"/>
      <c r="E783" s="7" t="n"/>
      <c r="F783" s="12">
        <f>IF(OR(C783="",D783=""),"",ROUND(MOD(D783-C783,1)*24,2))</f>
        <v/>
      </c>
      <c r="G783" s="7" t="n"/>
      <c r="H783" s="17">
        <f>IF(OR(A783="",B783=""),"",IF(COUNTIFS('Lançamentos Diários'!$A$5:$A$504,A783,'Lançamentos Diários'!$B$5:$B$504,B783)&gt;0,"OK","FALTA LANÇAMENTO"))</f>
        <v/>
      </c>
    </row>
    <row r="784">
      <c r="A784" s="14" t="n"/>
      <c r="B784" s="7" t="n"/>
      <c r="C784" s="15" t="n"/>
      <c r="D784" s="15" t="n"/>
      <c r="E784" s="7" t="n"/>
      <c r="F784" s="12">
        <f>IF(OR(C784="",D784=""),"",ROUND(MOD(D784-C784,1)*24,2))</f>
        <v/>
      </c>
      <c r="G784" s="7" t="n"/>
      <c r="H784" s="17">
        <f>IF(OR(A784="",B784=""),"",IF(COUNTIFS('Lançamentos Diários'!$A$5:$A$504,A784,'Lançamentos Diários'!$B$5:$B$504,B784)&gt;0,"OK","FALTA LANÇAMENTO"))</f>
        <v/>
      </c>
    </row>
    <row r="785">
      <c r="A785" s="14" t="n"/>
      <c r="B785" s="7" t="n"/>
      <c r="C785" s="15" t="n"/>
      <c r="D785" s="15" t="n"/>
      <c r="E785" s="7" t="n"/>
      <c r="F785" s="12">
        <f>IF(OR(C785="",D785=""),"",ROUND(MOD(D785-C785,1)*24,2))</f>
        <v/>
      </c>
      <c r="G785" s="7" t="n"/>
      <c r="H785" s="17">
        <f>IF(OR(A785="",B785=""),"",IF(COUNTIFS('Lançamentos Diários'!$A$5:$A$504,A785,'Lançamentos Diários'!$B$5:$B$504,B785)&gt;0,"OK","FALTA LANÇAMENTO"))</f>
        <v/>
      </c>
    </row>
    <row r="786">
      <c r="A786" s="14" t="n"/>
      <c r="B786" s="7" t="n"/>
      <c r="C786" s="15" t="n"/>
      <c r="D786" s="15" t="n"/>
      <c r="E786" s="7" t="n"/>
      <c r="F786" s="12">
        <f>IF(OR(C786="",D786=""),"",ROUND(MOD(D786-C786,1)*24,2))</f>
        <v/>
      </c>
      <c r="G786" s="7" t="n"/>
      <c r="H786" s="17">
        <f>IF(OR(A786="",B786=""),"",IF(COUNTIFS('Lançamentos Diários'!$A$5:$A$504,A786,'Lançamentos Diários'!$B$5:$B$504,B786)&gt;0,"OK","FALTA LANÇAMENTO"))</f>
        <v/>
      </c>
    </row>
    <row r="787">
      <c r="A787" s="14" t="n"/>
      <c r="B787" s="7" t="n"/>
      <c r="C787" s="15" t="n"/>
      <c r="D787" s="15" t="n"/>
      <c r="E787" s="7" t="n"/>
      <c r="F787" s="12">
        <f>IF(OR(C787="",D787=""),"",ROUND(MOD(D787-C787,1)*24,2))</f>
        <v/>
      </c>
      <c r="G787" s="7" t="n"/>
      <c r="H787" s="17">
        <f>IF(OR(A787="",B787=""),"",IF(COUNTIFS('Lançamentos Diários'!$A$5:$A$504,A787,'Lançamentos Diários'!$B$5:$B$504,B787)&gt;0,"OK","FALTA LANÇAMENTO"))</f>
        <v/>
      </c>
    </row>
    <row r="788">
      <c r="A788" s="14" t="n"/>
      <c r="B788" s="7" t="n"/>
      <c r="C788" s="15" t="n"/>
      <c r="D788" s="15" t="n"/>
      <c r="E788" s="7" t="n"/>
      <c r="F788" s="12">
        <f>IF(OR(C788="",D788=""),"",ROUND(MOD(D788-C788,1)*24,2))</f>
        <v/>
      </c>
      <c r="G788" s="7" t="n"/>
      <c r="H788" s="17">
        <f>IF(OR(A788="",B788=""),"",IF(COUNTIFS('Lançamentos Diários'!$A$5:$A$504,A788,'Lançamentos Diários'!$B$5:$B$504,B788)&gt;0,"OK","FALTA LANÇAMENTO"))</f>
        <v/>
      </c>
    </row>
    <row r="789">
      <c r="A789" s="14" t="n"/>
      <c r="B789" s="7" t="n"/>
      <c r="C789" s="15" t="n"/>
      <c r="D789" s="15" t="n"/>
      <c r="E789" s="7" t="n"/>
      <c r="F789" s="12">
        <f>IF(OR(C789="",D789=""),"",ROUND(MOD(D789-C789,1)*24,2))</f>
        <v/>
      </c>
      <c r="G789" s="7" t="n"/>
      <c r="H789" s="17">
        <f>IF(OR(A789="",B789=""),"",IF(COUNTIFS('Lançamentos Diários'!$A$5:$A$504,A789,'Lançamentos Diários'!$B$5:$B$504,B789)&gt;0,"OK","FALTA LANÇAMENTO"))</f>
        <v/>
      </c>
    </row>
    <row r="790">
      <c r="A790" s="14" t="n"/>
      <c r="B790" s="7" t="n"/>
      <c r="C790" s="15" t="n"/>
      <c r="D790" s="15" t="n"/>
      <c r="E790" s="7" t="n"/>
      <c r="F790" s="12">
        <f>IF(OR(C790="",D790=""),"",ROUND(MOD(D790-C790,1)*24,2))</f>
        <v/>
      </c>
      <c r="G790" s="7" t="n"/>
      <c r="H790" s="17">
        <f>IF(OR(A790="",B790=""),"",IF(COUNTIFS('Lançamentos Diários'!$A$5:$A$504,A790,'Lançamentos Diários'!$B$5:$B$504,B790)&gt;0,"OK","FALTA LANÇAMENTO"))</f>
        <v/>
      </c>
    </row>
    <row r="791">
      <c r="A791" s="14" t="n"/>
      <c r="B791" s="7" t="n"/>
      <c r="C791" s="15" t="n"/>
      <c r="D791" s="15" t="n"/>
      <c r="E791" s="7" t="n"/>
      <c r="F791" s="12">
        <f>IF(OR(C791="",D791=""),"",ROUND(MOD(D791-C791,1)*24,2))</f>
        <v/>
      </c>
      <c r="G791" s="7" t="n"/>
      <c r="H791" s="17">
        <f>IF(OR(A791="",B791=""),"",IF(COUNTIFS('Lançamentos Diários'!$A$5:$A$504,A791,'Lançamentos Diários'!$B$5:$B$504,B791)&gt;0,"OK","FALTA LANÇAMENTO"))</f>
        <v/>
      </c>
    </row>
    <row r="792">
      <c r="A792" s="14" t="n"/>
      <c r="B792" s="7" t="n"/>
      <c r="C792" s="15" t="n"/>
      <c r="D792" s="15" t="n"/>
      <c r="E792" s="7" t="n"/>
      <c r="F792" s="12">
        <f>IF(OR(C792="",D792=""),"",ROUND(MOD(D792-C792,1)*24,2))</f>
        <v/>
      </c>
      <c r="G792" s="7" t="n"/>
      <c r="H792" s="17">
        <f>IF(OR(A792="",B792=""),"",IF(COUNTIFS('Lançamentos Diários'!$A$5:$A$504,A792,'Lançamentos Diários'!$B$5:$B$504,B792)&gt;0,"OK","FALTA LANÇAMENTO"))</f>
        <v/>
      </c>
    </row>
    <row r="793">
      <c r="A793" s="14" t="n"/>
      <c r="B793" s="7" t="n"/>
      <c r="C793" s="15" t="n"/>
      <c r="D793" s="15" t="n"/>
      <c r="E793" s="7" t="n"/>
      <c r="F793" s="12">
        <f>IF(OR(C793="",D793=""),"",ROUND(MOD(D793-C793,1)*24,2))</f>
        <v/>
      </c>
      <c r="G793" s="7" t="n"/>
      <c r="H793" s="17">
        <f>IF(OR(A793="",B793=""),"",IF(COUNTIFS('Lançamentos Diários'!$A$5:$A$504,A793,'Lançamentos Diários'!$B$5:$B$504,B793)&gt;0,"OK","FALTA LANÇAMENTO"))</f>
        <v/>
      </c>
    </row>
    <row r="794">
      <c r="A794" s="14" t="n"/>
      <c r="B794" s="7" t="n"/>
      <c r="C794" s="15" t="n"/>
      <c r="D794" s="15" t="n"/>
      <c r="E794" s="7" t="n"/>
      <c r="F794" s="12">
        <f>IF(OR(C794="",D794=""),"",ROUND(MOD(D794-C794,1)*24,2))</f>
        <v/>
      </c>
      <c r="G794" s="7" t="n"/>
      <c r="H794" s="17">
        <f>IF(OR(A794="",B794=""),"",IF(COUNTIFS('Lançamentos Diários'!$A$5:$A$504,A794,'Lançamentos Diários'!$B$5:$B$504,B794)&gt;0,"OK","FALTA LANÇAMENTO"))</f>
        <v/>
      </c>
    </row>
    <row r="795">
      <c r="A795" s="14" t="n"/>
      <c r="B795" s="7" t="n"/>
      <c r="C795" s="15" t="n"/>
      <c r="D795" s="15" t="n"/>
      <c r="E795" s="7" t="n"/>
      <c r="F795" s="12">
        <f>IF(OR(C795="",D795=""),"",ROUND(MOD(D795-C795,1)*24,2))</f>
        <v/>
      </c>
      <c r="G795" s="7" t="n"/>
      <c r="H795" s="17">
        <f>IF(OR(A795="",B795=""),"",IF(COUNTIFS('Lançamentos Diários'!$A$5:$A$504,A795,'Lançamentos Diários'!$B$5:$B$504,B795)&gt;0,"OK","FALTA LANÇAMENTO"))</f>
        <v/>
      </c>
    </row>
    <row r="796">
      <c r="A796" s="14" t="n"/>
      <c r="B796" s="7" t="n"/>
      <c r="C796" s="15" t="n"/>
      <c r="D796" s="15" t="n"/>
      <c r="E796" s="7" t="n"/>
      <c r="F796" s="12">
        <f>IF(OR(C796="",D796=""),"",ROUND(MOD(D796-C796,1)*24,2))</f>
        <v/>
      </c>
      <c r="G796" s="7" t="n"/>
      <c r="H796" s="17">
        <f>IF(OR(A796="",B796=""),"",IF(COUNTIFS('Lançamentos Diários'!$A$5:$A$504,A796,'Lançamentos Diários'!$B$5:$B$504,B796)&gt;0,"OK","FALTA LANÇAMENTO"))</f>
        <v/>
      </c>
    </row>
    <row r="797">
      <c r="A797" s="14" t="n"/>
      <c r="B797" s="7" t="n"/>
      <c r="C797" s="15" t="n"/>
      <c r="D797" s="15" t="n"/>
      <c r="E797" s="7" t="n"/>
      <c r="F797" s="12">
        <f>IF(OR(C797="",D797=""),"",ROUND(MOD(D797-C797,1)*24,2))</f>
        <v/>
      </c>
      <c r="G797" s="7" t="n"/>
      <c r="H797" s="17">
        <f>IF(OR(A797="",B797=""),"",IF(COUNTIFS('Lançamentos Diários'!$A$5:$A$504,A797,'Lançamentos Diários'!$B$5:$B$504,B797)&gt;0,"OK","FALTA LANÇAMENTO"))</f>
        <v/>
      </c>
    </row>
    <row r="798">
      <c r="A798" s="14" t="n"/>
      <c r="B798" s="7" t="n"/>
      <c r="C798" s="15" t="n"/>
      <c r="D798" s="15" t="n"/>
      <c r="E798" s="7" t="n"/>
      <c r="F798" s="12">
        <f>IF(OR(C798="",D798=""),"",ROUND(MOD(D798-C798,1)*24,2))</f>
        <v/>
      </c>
      <c r="G798" s="7" t="n"/>
      <c r="H798" s="17">
        <f>IF(OR(A798="",B798=""),"",IF(COUNTIFS('Lançamentos Diários'!$A$5:$A$504,A798,'Lançamentos Diários'!$B$5:$B$504,B798)&gt;0,"OK","FALTA LANÇAMENTO"))</f>
        <v/>
      </c>
    </row>
    <row r="799">
      <c r="A799" s="14" t="n"/>
      <c r="B799" s="7" t="n"/>
      <c r="C799" s="15" t="n"/>
      <c r="D799" s="15" t="n"/>
      <c r="E799" s="7" t="n"/>
      <c r="F799" s="12">
        <f>IF(OR(C799="",D799=""),"",ROUND(MOD(D799-C799,1)*24,2))</f>
        <v/>
      </c>
      <c r="G799" s="7" t="n"/>
      <c r="H799" s="17">
        <f>IF(OR(A799="",B799=""),"",IF(COUNTIFS('Lançamentos Diários'!$A$5:$A$504,A799,'Lançamentos Diários'!$B$5:$B$504,B799)&gt;0,"OK","FALTA LANÇAMENTO"))</f>
        <v/>
      </c>
    </row>
    <row r="800">
      <c r="A800" s="14" t="n"/>
      <c r="B800" s="7" t="n"/>
      <c r="C800" s="15" t="n"/>
      <c r="D800" s="15" t="n"/>
      <c r="E800" s="7" t="n"/>
      <c r="F800" s="12">
        <f>IF(OR(C800="",D800=""),"",ROUND(MOD(D800-C800,1)*24,2))</f>
        <v/>
      </c>
      <c r="G800" s="7" t="n"/>
      <c r="H800" s="17">
        <f>IF(OR(A800="",B800=""),"",IF(COUNTIFS('Lançamentos Diários'!$A$5:$A$504,A800,'Lançamentos Diários'!$B$5:$B$504,B800)&gt;0,"OK","FALTA LANÇAMENTO"))</f>
        <v/>
      </c>
    </row>
    <row r="801">
      <c r="A801" s="14" t="n"/>
      <c r="B801" s="7" t="n"/>
      <c r="C801" s="15" t="n"/>
      <c r="D801" s="15" t="n"/>
      <c r="E801" s="7" t="n"/>
      <c r="F801" s="12">
        <f>IF(OR(C801="",D801=""),"",ROUND(MOD(D801-C801,1)*24,2))</f>
        <v/>
      </c>
      <c r="G801" s="7" t="n"/>
      <c r="H801" s="17">
        <f>IF(OR(A801="",B801=""),"",IF(COUNTIFS('Lançamentos Diários'!$A$5:$A$504,A801,'Lançamentos Diários'!$B$5:$B$504,B801)&gt;0,"OK","FALTA LANÇAMENTO"))</f>
        <v/>
      </c>
    </row>
    <row r="802">
      <c r="A802" s="14" t="n"/>
      <c r="B802" s="7" t="n"/>
      <c r="C802" s="15" t="n"/>
      <c r="D802" s="15" t="n"/>
      <c r="E802" s="7" t="n"/>
      <c r="F802" s="12">
        <f>IF(OR(C802="",D802=""),"",ROUND(MOD(D802-C802,1)*24,2))</f>
        <v/>
      </c>
      <c r="G802" s="7" t="n"/>
      <c r="H802" s="17">
        <f>IF(OR(A802="",B802=""),"",IF(COUNTIFS('Lançamentos Diários'!$A$5:$A$504,A802,'Lançamentos Diários'!$B$5:$B$504,B802)&gt;0,"OK","FALTA LANÇAMENTO"))</f>
        <v/>
      </c>
    </row>
    <row r="803">
      <c r="A803" s="14" t="n"/>
      <c r="B803" s="7" t="n"/>
      <c r="C803" s="15" t="n"/>
      <c r="D803" s="15" t="n"/>
      <c r="E803" s="7" t="n"/>
      <c r="F803" s="12">
        <f>IF(OR(C803="",D803=""),"",ROUND(MOD(D803-C803,1)*24,2))</f>
        <v/>
      </c>
      <c r="G803" s="7" t="n"/>
      <c r="H803" s="17">
        <f>IF(OR(A803="",B803=""),"",IF(COUNTIFS('Lançamentos Diários'!$A$5:$A$504,A803,'Lançamentos Diários'!$B$5:$B$504,B803)&gt;0,"OK","FALTA LANÇAMENTO"))</f>
        <v/>
      </c>
    </row>
    <row r="804">
      <c r="A804" s="14" t="n"/>
      <c r="B804" s="7" t="n"/>
      <c r="C804" s="15" t="n"/>
      <c r="D804" s="15" t="n"/>
      <c r="E804" s="7" t="n"/>
      <c r="F804" s="12">
        <f>IF(OR(C804="",D804=""),"",ROUND(MOD(D804-C804,1)*24,2))</f>
        <v/>
      </c>
      <c r="G804" s="7" t="n"/>
      <c r="H804" s="17">
        <f>IF(OR(A804="",B804=""),"",IF(COUNTIFS('Lançamentos Diários'!$A$5:$A$504,A804,'Lançamentos Diários'!$B$5:$B$504,B804)&gt;0,"OK","FALTA LANÇAMENTO"))</f>
        <v/>
      </c>
    </row>
    <row r="805">
      <c r="A805" s="14" t="n"/>
      <c r="B805" s="7" t="n"/>
      <c r="C805" s="15" t="n"/>
      <c r="D805" s="15" t="n"/>
      <c r="E805" s="7" t="n"/>
      <c r="F805" s="12">
        <f>IF(OR(C805="",D805=""),"",ROUND(MOD(D805-C805,1)*24,2))</f>
        <v/>
      </c>
      <c r="G805" s="7" t="n"/>
      <c r="H805" s="17">
        <f>IF(OR(A805="",B805=""),"",IF(COUNTIFS('Lançamentos Diários'!$A$5:$A$504,A805,'Lançamentos Diários'!$B$5:$B$504,B805)&gt;0,"OK","FALTA LANÇAMENTO"))</f>
        <v/>
      </c>
    </row>
    <row r="806">
      <c r="A806" s="14" t="n"/>
      <c r="B806" s="7" t="n"/>
      <c r="C806" s="15" t="n"/>
      <c r="D806" s="15" t="n"/>
      <c r="E806" s="7" t="n"/>
      <c r="F806" s="12">
        <f>IF(OR(C806="",D806=""),"",ROUND(MOD(D806-C806,1)*24,2))</f>
        <v/>
      </c>
      <c r="G806" s="7" t="n"/>
      <c r="H806" s="17">
        <f>IF(OR(A806="",B806=""),"",IF(COUNTIFS('Lançamentos Diários'!$A$5:$A$504,A806,'Lançamentos Diários'!$B$5:$B$504,B806)&gt;0,"OK","FALTA LANÇAMENTO"))</f>
        <v/>
      </c>
    </row>
    <row r="807">
      <c r="A807" s="14" t="n"/>
      <c r="B807" s="7" t="n"/>
      <c r="C807" s="15" t="n"/>
      <c r="D807" s="15" t="n"/>
      <c r="E807" s="7" t="n"/>
      <c r="F807" s="12">
        <f>IF(OR(C807="",D807=""),"",ROUND(MOD(D807-C807,1)*24,2))</f>
        <v/>
      </c>
      <c r="G807" s="7" t="n"/>
      <c r="H807" s="17">
        <f>IF(OR(A807="",B807=""),"",IF(COUNTIFS('Lançamentos Diários'!$A$5:$A$504,A807,'Lançamentos Diários'!$B$5:$B$504,B807)&gt;0,"OK","FALTA LANÇAMENTO"))</f>
        <v/>
      </c>
    </row>
    <row r="808">
      <c r="A808" s="14" t="n"/>
      <c r="B808" s="7" t="n"/>
      <c r="C808" s="15" t="n"/>
      <c r="D808" s="15" t="n"/>
      <c r="E808" s="7" t="n"/>
      <c r="F808" s="12">
        <f>IF(OR(C808="",D808=""),"",ROUND(MOD(D808-C808,1)*24,2))</f>
        <v/>
      </c>
      <c r="G808" s="7" t="n"/>
      <c r="H808" s="17">
        <f>IF(OR(A808="",B808=""),"",IF(COUNTIFS('Lançamentos Diários'!$A$5:$A$504,A808,'Lançamentos Diários'!$B$5:$B$504,B808)&gt;0,"OK","FALTA LANÇAMENTO"))</f>
        <v/>
      </c>
    </row>
    <row r="809">
      <c r="A809" s="14" t="n"/>
      <c r="B809" s="7" t="n"/>
      <c r="C809" s="15" t="n"/>
      <c r="D809" s="15" t="n"/>
      <c r="E809" s="7" t="n"/>
      <c r="F809" s="12">
        <f>IF(OR(C809="",D809=""),"",ROUND(MOD(D809-C809,1)*24,2))</f>
        <v/>
      </c>
      <c r="G809" s="7" t="n"/>
      <c r="H809" s="17">
        <f>IF(OR(A809="",B809=""),"",IF(COUNTIFS('Lançamentos Diários'!$A$5:$A$504,A809,'Lançamentos Diários'!$B$5:$B$504,B809)&gt;0,"OK","FALTA LANÇAMENTO"))</f>
        <v/>
      </c>
    </row>
    <row r="810">
      <c r="A810" s="14" t="n"/>
      <c r="B810" s="7" t="n"/>
      <c r="C810" s="15" t="n"/>
      <c r="D810" s="15" t="n"/>
      <c r="E810" s="7" t="n"/>
      <c r="F810" s="12">
        <f>IF(OR(C810="",D810=""),"",ROUND(MOD(D810-C810,1)*24,2))</f>
        <v/>
      </c>
      <c r="G810" s="7" t="n"/>
      <c r="H810" s="17">
        <f>IF(OR(A810="",B810=""),"",IF(COUNTIFS('Lançamentos Diários'!$A$5:$A$504,A810,'Lançamentos Diários'!$B$5:$B$504,B810)&gt;0,"OK","FALTA LANÇAMENTO"))</f>
        <v/>
      </c>
    </row>
    <row r="811">
      <c r="A811" s="14" t="n"/>
      <c r="B811" s="7" t="n"/>
      <c r="C811" s="15" t="n"/>
      <c r="D811" s="15" t="n"/>
      <c r="E811" s="7" t="n"/>
      <c r="F811" s="12">
        <f>IF(OR(C811="",D811=""),"",ROUND(MOD(D811-C811,1)*24,2))</f>
        <v/>
      </c>
      <c r="G811" s="7" t="n"/>
      <c r="H811" s="17">
        <f>IF(OR(A811="",B811=""),"",IF(COUNTIFS('Lançamentos Diários'!$A$5:$A$504,A811,'Lançamentos Diários'!$B$5:$B$504,B811)&gt;0,"OK","FALTA LANÇAMENTO"))</f>
        <v/>
      </c>
    </row>
    <row r="812">
      <c r="A812" s="14" t="n"/>
      <c r="B812" s="7" t="n"/>
      <c r="C812" s="15" t="n"/>
      <c r="D812" s="15" t="n"/>
      <c r="E812" s="7" t="n"/>
      <c r="F812" s="12">
        <f>IF(OR(C812="",D812=""),"",ROUND(MOD(D812-C812,1)*24,2))</f>
        <v/>
      </c>
      <c r="G812" s="7" t="n"/>
      <c r="H812" s="17">
        <f>IF(OR(A812="",B812=""),"",IF(COUNTIFS('Lançamentos Diários'!$A$5:$A$504,A812,'Lançamentos Diários'!$B$5:$B$504,B812)&gt;0,"OK","FALTA LANÇAMENTO"))</f>
        <v/>
      </c>
    </row>
    <row r="813">
      <c r="A813" s="14" t="n"/>
      <c r="B813" s="7" t="n"/>
      <c r="C813" s="15" t="n"/>
      <c r="D813" s="15" t="n"/>
      <c r="E813" s="7" t="n"/>
      <c r="F813" s="12">
        <f>IF(OR(C813="",D813=""),"",ROUND(MOD(D813-C813,1)*24,2))</f>
        <v/>
      </c>
      <c r="G813" s="7" t="n"/>
      <c r="H813" s="17">
        <f>IF(OR(A813="",B813=""),"",IF(COUNTIFS('Lançamentos Diários'!$A$5:$A$504,A813,'Lançamentos Diários'!$B$5:$B$504,B813)&gt;0,"OK","FALTA LANÇAMENTO"))</f>
        <v/>
      </c>
    </row>
    <row r="814">
      <c r="A814" s="14" t="n"/>
      <c r="B814" s="7" t="n"/>
      <c r="C814" s="15" t="n"/>
      <c r="D814" s="15" t="n"/>
      <c r="E814" s="7" t="n"/>
      <c r="F814" s="12">
        <f>IF(OR(C814="",D814=""),"",ROUND(MOD(D814-C814,1)*24,2))</f>
        <v/>
      </c>
      <c r="G814" s="7" t="n"/>
      <c r="H814" s="17">
        <f>IF(OR(A814="",B814=""),"",IF(COUNTIFS('Lançamentos Diários'!$A$5:$A$504,A814,'Lançamentos Diários'!$B$5:$B$504,B814)&gt;0,"OK","FALTA LANÇAMENTO"))</f>
        <v/>
      </c>
    </row>
    <row r="815">
      <c r="A815" s="14" t="n"/>
      <c r="B815" s="7" t="n"/>
      <c r="C815" s="15" t="n"/>
      <c r="D815" s="15" t="n"/>
      <c r="E815" s="7" t="n"/>
      <c r="F815" s="12">
        <f>IF(OR(C815="",D815=""),"",ROUND(MOD(D815-C815,1)*24,2))</f>
        <v/>
      </c>
      <c r="G815" s="7" t="n"/>
      <c r="H815" s="17">
        <f>IF(OR(A815="",B815=""),"",IF(COUNTIFS('Lançamentos Diários'!$A$5:$A$504,A815,'Lançamentos Diários'!$B$5:$B$504,B815)&gt;0,"OK","FALTA LANÇAMENTO"))</f>
        <v/>
      </c>
    </row>
    <row r="816">
      <c r="A816" s="14" t="n"/>
      <c r="B816" s="7" t="n"/>
      <c r="C816" s="15" t="n"/>
      <c r="D816" s="15" t="n"/>
      <c r="E816" s="7" t="n"/>
      <c r="F816" s="12">
        <f>IF(OR(C816="",D816=""),"",ROUND(MOD(D816-C816,1)*24,2))</f>
        <v/>
      </c>
      <c r="G816" s="7" t="n"/>
      <c r="H816" s="17">
        <f>IF(OR(A816="",B816=""),"",IF(COUNTIFS('Lançamentos Diários'!$A$5:$A$504,A816,'Lançamentos Diários'!$B$5:$B$504,B816)&gt;0,"OK","FALTA LANÇAMENTO"))</f>
        <v/>
      </c>
    </row>
    <row r="817">
      <c r="A817" s="14" t="n"/>
      <c r="B817" s="7" t="n"/>
      <c r="C817" s="15" t="n"/>
      <c r="D817" s="15" t="n"/>
      <c r="E817" s="7" t="n"/>
      <c r="F817" s="12">
        <f>IF(OR(C817="",D817=""),"",ROUND(MOD(D817-C817,1)*24,2))</f>
        <v/>
      </c>
      <c r="G817" s="7" t="n"/>
      <c r="H817" s="17">
        <f>IF(OR(A817="",B817=""),"",IF(COUNTIFS('Lançamentos Diários'!$A$5:$A$504,A817,'Lançamentos Diários'!$B$5:$B$504,B817)&gt;0,"OK","FALTA LANÇAMENTO"))</f>
        <v/>
      </c>
    </row>
    <row r="818">
      <c r="A818" s="14" t="n"/>
      <c r="B818" s="7" t="n"/>
      <c r="C818" s="15" t="n"/>
      <c r="D818" s="15" t="n"/>
      <c r="E818" s="7" t="n"/>
      <c r="F818" s="12">
        <f>IF(OR(C818="",D818=""),"",ROUND(MOD(D818-C818,1)*24,2))</f>
        <v/>
      </c>
      <c r="G818" s="7" t="n"/>
      <c r="H818" s="17">
        <f>IF(OR(A818="",B818=""),"",IF(COUNTIFS('Lançamentos Diários'!$A$5:$A$504,A818,'Lançamentos Diários'!$B$5:$B$504,B818)&gt;0,"OK","FALTA LANÇAMENTO"))</f>
        <v/>
      </c>
    </row>
    <row r="819">
      <c r="A819" s="14" t="n"/>
      <c r="B819" s="7" t="n"/>
      <c r="C819" s="15" t="n"/>
      <c r="D819" s="15" t="n"/>
      <c r="E819" s="7" t="n"/>
      <c r="F819" s="12">
        <f>IF(OR(C819="",D819=""),"",ROUND(MOD(D819-C819,1)*24,2))</f>
        <v/>
      </c>
      <c r="G819" s="7" t="n"/>
      <c r="H819" s="17">
        <f>IF(OR(A819="",B819=""),"",IF(COUNTIFS('Lançamentos Diários'!$A$5:$A$504,A819,'Lançamentos Diários'!$B$5:$B$504,B819)&gt;0,"OK","FALTA LANÇAMENTO"))</f>
        <v/>
      </c>
    </row>
    <row r="820">
      <c r="A820" s="14" t="n"/>
      <c r="B820" s="7" t="n"/>
      <c r="C820" s="15" t="n"/>
      <c r="D820" s="15" t="n"/>
      <c r="E820" s="7" t="n"/>
      <c r="F820" s="12">
        <f>IF(OR(C820="",D820=""),"",ROUND(MOD(D820-C820,1)*24,2))</f>
        <v/>
      </c>
      <c r="G820" s="7" t="n"/>
      <c r="H820" s="17">
        <f>IF(OR(A820="",B820=""),"",IF(COUNTIFS('Lançamentos Diários'!$A$5:$A$504,A820,'Lançamentos Diários'!$B$5:$B$504,B820)&gt;0,"OK","FALTA LANÇAMENTO"))</f>
        <v/>
      </c>
    </row>
    <row r="821">
      <c r="A821" s="14" t="n"/>
      <c r="B821" s="7" t="n"/>
      <c r="C821" s="15" t="n"/>
      <c r="D821" s="15" t="n"/>
      <c r="E821" s="7" t="n"/>
      <c r="F821" s="12">
        <f>IF(OR(C821="",D821=""),"",ROUND(MOD(D821-C821,1)*24,2))</f>
        <v/>
      </c>
      <c r="G821" s="7" t="n"/>
      <c r="H821" s="17">
        <f>IF(OR(A821="",B821=""),"",IF(COUNTIFS('Lançamentos Diários'!$A$5:$A$504,A821,'Lançamentos Diários'!$B$5:$B$504,B821)&gt;0,"OK","FALTA LANÇAMENTO"))</f>
        <v/>
      </c>
    </row>
    <row r="822">
      <c r="A822" s="14" t="n"/>
      <c r="B822" s="7" t="n"/>
      <c r="C822" s="15" t="n"/>
      <c r="D822" s="15" t="n"/>
      <c r="E822" s="7" t="n"/>
      <c r="F822" s="12">
        <f>IF(OR(C822="",D822=""),"",ROUND(MOD(D822-C822,1)*24,2))</f>
        <v/>
      </c>
      <c r="G822" s="7" t="n"/>
      <c r="H822" s="17">
        <f>IF(OR(A822="",B822=""),"",IF(COUNTIFS('Lançamentos Diários'!$A$5:$A$504,A822,'Lançamentos Diários'!$B$5:$B$504,B822)&gt;0,"OK","FALTA LANÇAMENTO"))</f>
        <v/>
      </c>
    </row>
    <row r="823">
      <c r="A823" s="14" t="n"/>
      <c r="B823" s="7" t="n"/>
      <c r="C823" s="15" t="n"/>
      <c r="D823" s="15" t="n"/>
      <c r="E823" s="7" t="n"/>
      <c r="F823" s="12">
        <f>IF(OR(C823="",D823=""),"",ROUND(MOD(D823-C823,1)*24,2))</f>
        <v/>
      </c>
      <c r="G823" s="7" t="n"/>
      <c r="H823" s="17">
        <f>IF(OR(A823="",B823=""),"",IF(COUNTIFS('Lançamentos Diários'!$A$5:$A$504,A823,'Lançamentos Diários'!$B$5:$B$504,B823)&gt;0,"OK","FALTA LANÇAMENTO"))</f>
        <v/>
      </c>
    </row>
    <row r="824">
      <c r="A824" s="14" t="n"/>
      <c r="B824" s="7" t="n"/>
      <c r="C824" s="15" t="n"/>
      <c r="D824" s="15" t="n"/>
      <c r="E824" s="7" t="n"/>
      <c r="F824" s="12">
        <f>IF(OR(C824="",D824=""),"",ROUND(MOD(D824-C824,1)*24,2))</f>
        <v/>
      </c>
      <c r="G824" s="7" t="n"/>
      <c r="H824" s="17">
        <f>IF(OR(A824="",B824=""),"",IF(COUNTIFS('Lançamentos Diários'!$A$5:$A$504,A824,'Lançamentos Diários'!$B$5:$B$504,B824)&gt;0,"OK","FALTA LANÇAMENTO"))</f>
        <v/>
      </c>
    </row>
    <row r="825">
      <c r="A825" s="14" t="n"/>
      <c r="B825" s="7" t="n"/>
      <c r="C825" s="15" t="n"/>
      <c r="D825" s="15" t="n"/>
      <c r="E825" s="7" t="n"/>
      <c r="F825" s="12">
        <f>IF(OR(C825="",D825=""),"",ROUND(MOD(D825-C825,1)*24,2))</f>
        <v/>
      </c>
      <c r="G825" s="7" t="n"/>
      <c r="H825" s="17">
        <f>IF(OR(A825="",B825=""),"",IF(COUNTIFS('Lançamentos Diários'!$A$5:$A$504,A825,'Lançamentos Diários'!$B$5:$B$504,B825)&gt;0,"OK","FALTA LANÇAMENTO"))</f>
        <v/>
      </c>
    </row>
    <row r="826">
      <c r="A826" s="14" t="n"/>
      <c r="B826" s="7" t="n"/>
      <c r="C826" s="15" t="n"/>
      <c r="D826" s="15" t="n"/>
      <c r="E826" s="7" t="n"/>
      <c r="F826" s="12">
        <f>IF(OR(C826="",D826=""),"",ROUND(MOD(D826-C826,1)*24,2))</f>
        <v/>
      </c>
      <c r="G826" s="7" t="n"/>
      <c r="H826" s="17">
        <f>IF(OR(A826="",B826=""),"",IF(COUNTIFS('Lançamentos Diários'!$A$5:$A$504,A826,'Lançamentos Diários'!$B$5:$B$504,B826)&gt;0,"OK","FALTA LANÇAMENTO"))</f>
        <v/>
      </c>
    </row>
    <row r="827">
      <c r="A827" s="14" t="n"/>
      <c r="B827" s="7" t="n"/>
      <c r="C827" s="15" t="n"/>
      <c r="D827" s="15" t="n"/>
      <c r="E827" s="7" t="n"/>
      <c r="F827" s="12">
        <f>IF(OR(C827="",D827=""),"",ROUND(MOD(D827-C827,1)*24,2))</f>
        <v/>
      </c>
      <c r="G827" s="7" t="n"/>
      <c r="H827" s="17">
        <f>IF(OR(A827="",B827=""),"",IF(COUNTIFS('Lançamentos Diários'!$A$5:$A$504,A827,'Lançamentos Diários'!$B$5:$B$504,B827)&gt;0,"OK","FALTA LANÇAMENTO"))</f>
        <v/>
      </c>
    </row>
    <row r="828">
      <c r="A828" s="14" t="n"/>
      <c r="B828" s="7" t="n"/>
      <c r="C828" s="15" t="n"/>
      <c r="D828" s="15" t="n"/>
      <c r="E828" s="7" t="n"/>
      <c r="F828" s="12">
        <f>IF(OR(C828="",D828=""),"",ROUND(MOD(D828-C828,1)*24,2))</f>
        <v/>
      </c>
      <c r="G828" s="7" t="n"/>
      <c r="H828" s="17">
        <f>IF(OR(A828="",B828=""),"",IF(COUNTIFS('Lançamentos Diários'!$A$5:$A$504,A828,'Lançamentos Diários'!$B$5:$B$504,B828)&gt;0,"OK","FALTA LANÇAMENTO"))</f>
        <v/>
      </c>
    </row>
    <row r="829">
      <c r="A829" s="14" t="n"/>
      <c r="B829" s="7" t="n"/>
      <c r="C829" s="15" t="n"/>
      <c r="D829" s="15" t="n"/>
      <c r="E829" s="7" t="n"/>
      <c r="F829" s="12">
        <f>IF(OR(C829="",D829=""),"",ROUND(MOD(D829-C829,1)*24,2))</f>
        <v/>
      </c>
      <c r="G829" s="7" t="n"/>
      <c r="H829" s="17">
        <f>IF(OR(A829="",B829=""),"",IF(COUNTIFS('Lançamentos Diários'!$A$5:$A$504,A829,'Lançamentos Diários'!$B$5:$B$504,B829)&gt;0,"OK","FALTA LANÇAMENTO"))</f>
        <v/>
      </c>
    </row>
    <row r="830">
      <c r="A830" s="14" t="n"/>
      <c r="B830" s="7" t="n"/>
      <c r="C830" s="15" t="n"/>
      <c r="D830" s="15" t="n"/>
      <c r="E830" s="7" t="n"/>
      <c r="F830" s="12">
        <f>IF(OR(C830="",D830=""),"",ROUND(MOD(D830-C830,1)*24,2))</f>
        <v/>
      </c>
      <c r="G830" s="7" t="n"/>
      <c r="H830" s="17">
        <f>IF(OR(A830="",B830=""),"",IF(COUNTIFS('Lançamentos Diários'!$A$5:$A$504,A830,'Lançamentos Diários'!$B$5:$B$504,B830)&gt;0,"OK","FALTA LANÇAMENTO"))</f>
        <v/>
      </c>
    </row>
    <row r="831">
      <c r="A831" s="14" t="n"/>
      <c r="B831" s="7" t="n"/>
      <c r="C831" s="15" t="n"/>
      <c r="D831" s="15" t="n"/>
      <c r="E831" s="7" t="n"/>
      <c r="F831" s="12">
        <f>IF(OR(C831="",D831=""),"",ROUND(MOD(D831-C831,1)*24,2))</f>
        <v/>
      </c>
      <c r="G831" s="7" t="n"/>
      <c r="H831" s="17">
        <f>IF(OR(A831="",B831=""),"",IF(COUNTIFS('Lançamentos Diários'!$A$5:$A$504,A831,'Lançamentos Diários'!$B$5:$B$504,B831)&gt;0,"OK","FALTA LANÇAMENTO"))</f>
        <v/>
      </c>
    </row>
    <row r="832">
      <c r="A832" s="14" t="n"/>
      <c r="B832" s="7" t="n"/>
      <c r="C832" s="15" t="n"/>
      <c r="D832" s="15" t="n"/>
      <c r="E832" s="7" t="n"/>
      <c r="F832" s="12">
        <f>IF(OR(C832="",D832=""),"",ROUND(MOD(D832-C832,1)*24,2))</f>
        <v/>
      </c>
      <c r="G832" s="7" t="n"/>
      <c r="H832" s="17">
        <f>IF(OR(A832="",B832=""),"",IF(COUNTIFS('Lançamentos Diários'!$A$5:$A$504,A832,'Lançamentos Diários'!$B$5:$B$504,B832)&gt;0,"OK","FALTA LANÇAMENTO"))</f>
        <v/>
      </c>
    </row>
    <row r="833">
      <c r="A833" s="14" t="n"/>
      <c r="B833" s="7" t="n"/>
      <c r="C833" s="15" t="n"/>
      <c r="D833" s="15" t="n"/>
      <c r="E833" s="7" t="n"/>
      <c r="F833" s="12">
        <f>IF(OR(C833="",D833=""),"",ROUND(MOD(D833-C833,1)*24,2))</f>
        <v/>
      </c>
      <c r="G833" s="7" t="n"/>
      <c r="H833" s="17">
        <f>IF(OR(A833="",B833=""),"",IF(COUNTIFS('Lançamentos Diários'!$A$5:$A$504,A833,'Lançamentos Diários'!$B$5:$B$504,B833)&gt;0,"OK","FALTA LANÇAMENTO"))</f>
        <v/>
      </c>
    </row>
    <row r="834">
      <c r="A834" s="14" t="n"/>
      <c r="B834" s="7" t="n"/>
      <c r="C834" s="15" t="n"/>
      <c r="D834" s="15" t="n"/>
      <c r="E834" s="7" t="n"/>
      <c r="F834" s="12">
        <f>IF(OR(C834="",D834=""),"",ROUND(MOD(D834-C834,1)*24,2))</f>
        <v/>
      </c>
      <c r="G834" s="7" t="n"/>
      <c r="H834" s="17">
        <f>IF(OR(A834="",B834=""),"",IF(COUNTIFS('Lançamentos Diários'!$A$5:$A$504,A834,'Lançamentos Diários'!$B$5:$B$504,B834)&gt;0,"OK","FALTA LANÇAMENTO"))</f>
        <v/>
      </c>
    </row>
    <row r="835">
      <c r="A835" s="14" t="n"/>
      <c r="B835" s="7" t="n"/>
      <c r="C835" s="15" t="n"/>
      <c r="D835" s="15" t="n"/>
      <c r="E835" s="7" t="n"/>
      <c r="F835" s="12">
        <f>IF(OR(C835="",D835=""),"",ROUND(MOD(D835-C835,1)*24,2))</f>
        <v/>
      </c>
      <c r="G835" s="7" t="n"/>
      <c r="H835" s="17">
        <f>IF(OR(A835="",B835=""),"",IF(COUNTIFS('Lançamentos Diários'!$A$5:$A$504,A835,'Lançamentos Diários'!$B$5:$B$504,B835)&gt;0,"OK","FALTA LANÇAMENTO"))</f>
        <v/>
      </c>
    </row>
    <row r="836">
      <c r="A836" s="14" t="n"/>
      <c r="B836" s="7" t="n"/>
      <c r="C836" s="15" t="n"/>
      <c r="D836" s="15" t="n"/>
      <c r="E836" s="7" t="n"/>
      <c r="F836" s="12">
        <f>IF(OR(C836="",D836=""),"",ROUND(MOD(D836-C836,1)*24,2))</f>
        <v/>
      </c>
      <c r="G836" s="7" t="n"/>
      <c r="H836" s="17">
        <f>IF(OR(A836="",B836=""),"",IF(COUNTIFS('Lançamentos Diários'!$A$5:$A$504,A836,'Lançamentos Diários'!$B$5:$B$504,B836)&gt;0,"OK","FALTA LANÇAMENTO"))</f>
        <v/>
      </c>
    </row>
    <row r="837">
      <c r="A837" s="14" t="n"/>
      <c r="B837" s="7" t="n"/>
      <c r="C837" s="15" t="n"/>
      <c r="D837" s="15" t="n"/>
      <c r="E837" s="7" t="n"/>
      <c r="F837" s="12">
        <f>IF(OR(C837="",D837=""),"",ROUND(MOD(D837-C837,1)*24,2))</f>
        <v/>
      </c>
      <c r="G837" s="7" t="n"/>
      <c r="H837" s="17">
        <f>IF(OR(A837="",B837=""),"",IF(COUNTIFS('Lançamentos Diários'!$A$5:$A$504,A837,'Lançamentos Diários'!$B$5:$B$504,B837)&gt;0,"OK","FALTA LANÇAMENTO"))</f>
        <v/>
      </c>
    </row>
    <row r="838">
      <c r="A838" s="14" t="n"/>
      <c r="B838" s="7" t="n"/>
      <c r="C838" s="15" t="n"/>
      <c r="D838" s="15" t="n"/>
      <c r="E838" s="7" t="n"/>
      <c r="F838" s="12">
        <f>IF(OR(C838="",D838=""),"",ROUND(MOD(D838-C838,1)*24,2))</f>
        <v/>
      </c>
      <c r="G838" s="7" t="n"/>
      <c r="H838" s="17">
        <f>IF(OR(A838="",B838=""),"",IF(COUNTIFS('Lançamentos Diários'!$A$5:$A$504,A838,'Lançamentos Diários'!$B$5:$B$504,B838)&gt;0,"OK","FALTA LANÇAMENTO"))</f>
        <v/>
      </c>
    </row>
    <row r="839">
      <c r="A839" s="14" t="n"/>
      <c r="B839" s="7" t="n"/>
      <c r="C839" s="15" t="n"/>
      <c r="D839" s="15" t="n"/>
      <c r="E839" s="7" t="n"/>
      <c r="F839" s="12">
        <f>IF(OR(C839="",D839=""),"",ROUND(MOD(D839-C839,1)*24,2))</f>
        <v/>
      </c>
      <c r="G839" s="7" t="n"/>
      <c r="H839" s="17">
        <f>IF(OR(A839="",B839=""),"",IF(COUNTIFS('Lançamentos Diários'!$A$5:$A$504,A839,'Lançamentos Diários'!$B$5:$B$504,B839)&gt;0,"OK","FALTA LANÇAMENTO"))</f>
        <v/>
      </c>
    </row>
    <row r="840">
      <c r="A840" s="14" t="n"/>
      <c r="B840" s="7" t="n"/>
      <c r="C840" s="15" t="n"/>
      <c r="D840" s="15" t="n"/>
      <c r="E840" s="7" t="n"/>
      <c r="F840" s="12">
        <f>IF(OR(C840="",D840=""),"",ROUND(MOD(D840-C840,1)*24,2))</f>
        <v/>
      </c>
      <c r="G840" s="7" t="n"/>
      <c r="H840" s="17">
        <f>IF(OR(A840="",B840=""),"",IF(COUNTIFS('Lançamentos Diários'!$A$5:$A$504,A840,'Lançamentos Diários'!$B$5:$B$504,B840)&gt;0,"OK","FALTA LANÇAMENTO"))</f>
        <v/>
      </c>
    </row>
    <row r="841">
      <c r="A841" s="14" t="n"/>
      <c r="B841" s="7" t="n"/>
      <c r="C841" s="15" t="n"/>
      <c r="D841" s="15" t="n"/>
      <c r="E841" s="7" t="n"/>
      <c r="F841" s="12">
        <f>IF(OR(C841="",D841=""),"",ROUND(MOD(D841-C841,1)*24,2))</f>
        <v/>
      </c>
      <c r="G841" s="7" t="n"/>
      <c r="H841" s="17">
        <f>IF(OR(A841="",B841=""),"",IF(COUNTIFS('Lançamentos Diários'!$A$5:$A$504,A841,'Lançamentos Diários'!$B$5:$B$504,B841)&gt;0,"OK","FALTA LANÇAMENTO"))</f>
        <v/>
      </c>
    </row>
    <row r="842">
      <c r="A842" s="14" t="n"/>
      <c r="B842" s="7" t="n"/>
      <c r="C842" s="15" t="n"/>
      <c r="D842" s="15" t="n"/>
      <c r="E842" s="7" t="n"/>
      <c r="F842" s="12">
        <f>IF(OR(C842="",D842=""),"",ROUND(MOD(D842-C842,1)*24,2))</f>
        <v/>
      </c>
      <c r="G842" s="7" t="n"/>
      <c r="H842" s="17">
        <f>IF(OR(A842="",B842=""),"",IF(COUNTIFS('Lançamentos Diários'!$A$5:$A$504,A842,'Lançamentos Diários'!$B$5:$B$504,B842)&gt;0,"OK","FALTA LANÇAMENTO"))</f>
        <v/>
      </c>
    </row>
    <row r="843">
      <c r="A843" s="14" t="n"/>
      <c r="B843" s="7" t="n"/>
      <c r="C843" s="15" t="n"/>
      <c r="D843" s="15" t="n"/>
      <c r="E843" s="7" t="n"/>
      <c r="F843" s="12">
        <f>IF(OR(C843="",D843=""),"",ROUND(MOD(D843-C843,1)*24,2))</f>
        <v/>
      </c>
      <c r="G843" s="7" t="n"/>
      <c r="H843" s="17">
        <f>IF(OR(A843="",B843=""),"",IF(COUNTIFS('Lançamentos Diários'!$A$5:$A$504,A843,'Lançamentos Diários'!$B$5:$B$504,B843)&gt;0,"OK","FALTA LANÇAMENTO"))</f>
        <v/>
      </c>
    </row>
    <row r="844">
      <c r="A844" s="14" t="n"/>
      <c r="B844" s="7" t="n"/>
      <c r="C844" s="15" t="n"/>
      <c r="D844" s="15" t="n"/>
      <c r="E844" s="7" t="n"/>
      <c r="F844" s="12">
        <f>IF(OR(C844="",D844=""),"",ROUND(MOD(D844-C844,1)*24,2))</f>
        <v/>
      </c>
      <c r="G844" s="7" t="n"/>
      <c r="H844" s="17">
        <f>IF(OR(A844="",B844=""),"",IF(COUNTIFS('Lançamentos Diários'!$A$5:$A$504,A844,'Lançamentos Diários'!$B$5:$B$504,B844)&gt;0,"OK","FALTA LANÇAMENTO"))</f>
        <v/>
      </c>
    </row>
    <row r="845">
      <c r="A845" s="14" t="n"/>
      <c r="B845" s="7" t="n"/>
      <c r="C845" s="15" t="n"/>
      <c r="D845" s="15" t="n"/>
      <c r="E845" s="7" t="n"/>
      <c r="F845" s="12">
        <f>IF(OR(C845="",D845=""),"",ROUND(MOD(D845-C845,1)*24,2))</f>
        <v/>
      </c>
      <c r="G845" s="7" t="n"/>
      <c r="H845" s="17">
        <f>IF(OR(A845="",B845=""),"",IF(COUNTIFS('Lançamentos Diários'!$A$5:$A$504,A845,'Lançamentos Diários'!$B$5:$B$504,B845)&gt;0,"OK","FALTA LANÇAMENTO"))</f>
        <v/>
      </c>
    </row>
    <row r="846">
      <c r="A846" s="14" t="n"/>
      <c r="B846" s="7" t="n"/>
      <c r="C846" s="15" t="n"/>
      <c r="D846" s="15" t="n"/>
      <c r="E846" s="7" t="n"/>
      <c r="F846" s="12">
        <f>IF(OR(C846="",D846=""),"",ROUND(MOD(D846-C846,1)*24,2))</f>
        <v/>
      </c>
      <c r="G846" s="7" t="n"/>
      <c r="H846" s="17">
        <f>IF(OR(A846="",B846=""),"",IF(COUNTIFS('Lançamentos Diários'!$A$5:$A$504,A846,'Lançamentos Diários'!$B$5:$B$504,B846)&gt;0,"OK","FALTA LANÇAMENTO"))</f>
        <v/>
      </c>
    </row>
    <row r="847">
      <c r="A847" s="14" t="n"/>
      <c r="B847" s="7" t="n"/>
      <c r="C847" s="15" t="n"/>
      <c r="D847" s="15" t="n"/>
      <c r="E847" s="7" t="n"/>
      <c r="F847" s="12">
        <f>IF(OR(C847="",D847=""),"",ROUND(MOD(D847-C847,1)*24,2))</f>
        <v/>
      </c>
      <c r="G847" s="7" t="n"/>
      <c r="H847" s="17">
        <f>IF(OR(A847="",B847=""),"",IF(COUNTIFS('Lançamentos Diários'!$A$5:$A$504,A847,'Lançamentos Diários'!$B$5:$B$504,B847)&gt;0,"OK","FALTA LANÇAMENTO"))</f>
        <v/>
      </c>
    </row>
    <row r="848">
      <c r="A848" s="14" t="n"/>
      <c r="B848" s="7" t="n"/>
      <c r="C848" s="15" t="n"/>
      <c r="D848" s="15" t="n"/>
      <c r="E848" s="7" t="n"/>
      <c r="F848" s="12">
        <f>IF(OR(C848="",D848=""),"",ROUND(MOD(D848-C848,1)*24,2))</f>
        <v/>
      </c>
      <c r="G848" s="7" t="n"/>
      <c r="H848" s="17">
        <f>IF(OR(A848="",B848=""),"",IF(COUNTIFS('Lançamentos Diários'!$A$5:$A$504,A848,'Lançamentos Diários'!$B$5:$B$504,B848)&gt;0,"OK","FALTA LANÇAMENTO"))</f>
        <v/>
      </c>
    </row>
    <row r="849">
      <c r="A849" s="14" t="n"/>
      <c r="B849" s="7" t="n"/>
      <c r="C849" s="15" t="n"/>
      <c r="D849" s="15" t="n"/>
      <c r="E849" s="7" t="n"/>
      <c r="F849" s="12">
        <f>IF(OR(C849="",D849=""),"",ROUND(MOD(D849-C849,1)*24,2))</f>
        <v/>
      </c>
      <c r="G849" s="7" t="n"/>
      <c r="H849" s="17">
        <f>IF(OR(A849="",B849=""),"",IF(COUNTIFS('Lançamentos Diários'!$A$5:$A$504,A849,'Lançamentos Diários'!$B$5:$B$504,B849)&gt;0,"OK","FALTA LANÇAMENTO"))</f>
        <v/>
      </c>
    </row>
    <row r="850">
      <c r="A850" s="14" t="n"/>
      <c r="B850" s="7" t="n"/>
      <c r="C850" s="15" t="n"/>
      <c r="D850" s="15" t="n"/>
      <c r="E850" s="7" t="n"/>
      <c r="F850" s="12">
        <f>IF(OR(C850="",D850=""),"",ROUND(MOD(D850-C850,1)*24,2))</f>
        <v/>
      </c>
      <c r="G850" s="7" t="n"/>
      <c r="H850" s="17">
        <f>IF(OR(A850="",B850=""),"",IF(COUNTIFS('Lançamentos Diários'!$A$5:$A$504,A850,'Lançamentos Diários'!$B$5:$B$504,B850)&gt;0,"OK","FALTA LANÇAMENTO"))</f>
        <v/>
      </c>
    </row>
    <row r="851">
      <c r="A851" s="14" t="n"/>
      <c r="B851" s="7" t="n"/>
      <c r="C851" s="15" t="n"/>
      <c r="D851" s="15" t="n"/>
      <c r="E851" s="7" t="n"/>
      <c r="F851" s="12">
        <f>IF(OR(C851="",D851=""),"",ROUND(MOD(D851-C851,1)*24,2))</f>
        <v/>
      </c>
      <c r="G851" s="7" t="n"/>
      <c r="H851" s="17">
        <f>IF(OR(A851="",B851=""),"",IF(COUNTIFS('Lançamentos Diários'!$A$5:$A$504,A851,'Lançamentos Diários'!$B$5:$B$504,B851)&gt;0,"OK","FALTA LANÇAMENTO"))</f>
        <v/>
      </c>
    </row>
    <row r="852">
      <c r="A852" s="14" t="n"/>
      <c r="B852" s="7" t="n"/>
      <c r="C852" s="15" t="n"/>
      <c r="D852" s="15" t="n"/>
      <c r="E852" s="7" t="n"/>
      <c r="F852" s="12">
        <f>IF(OR(C852="",D852=""),"",ROUND(MOD(D852-C852,1)*24,2))</f>
        <v/>
      </c>
      <c r="G852" s="7" t="n"/>
      <c r="H852" s="17">
        <f>IF(OR(A852="",B852=""),"",IF(COUNTIFS('Lançamentos Diários'!$A$5:$A$504,A852,'Lançamentos Diários'!$B$5:$B$504,B852)&gt;0,"OK","FALTA LANÇAMENTO"))</f>
        <v/>
      </c>
    </row>
    <row r="853">
      <c r="A853" s="14" t="n"/>
      <c r="B853" s="7" t="n"/>
      <c r="C853" s="15" t="n"/>
      <c r="D853" s="15" t="n"/>
      <c r="E853" s="7" t="n"/>
      <c r="F853" s="12">
        <f>IF(OR(C853="",D853=""),"",ROUND(MOD(D853-C853,1)*24,2))</f>
        <v/>
      </c>
      <c r="G853" s="7" t="n"/>
      <c r="H853" s="17">
        <f>IF(OR(A853="",B853=""),"",IF(COUNTIFS('Lançamentos Diários'!$A$5:$A$504,A853,'Lançamentos Diários'!$B$5:$B$504,B853)&gt;0,"OK","FALTA LANÇAMENTO"))</f>
        <v/>
      </c>
    </row>
    <row r="854">
      <c r="A854" s="14" t="n"/>
      <c r="B854" s="7" t="n"/>
      <c r="C854" s="15" t="n"/>
      <c r="D854" s="15" t="n"/>
      <c r="E854" s="7" t="n"/>
      <c r="F854" s="12">
        <f>IF(OR(C854="",D854=""),"",ROUND(MOD(D854-C854,1)*24,2))</f>
        <v/>
      </c>
      <c r="G854" s="7" t="n"/>
      <c r="H854" s="17">
        <f>IF(OR(A854="",B854=""),"",IF(COUNTIFS('Lançamentos Diários'!$A$5:$A$504,A854,'Lançamentos Diários'!$B$5:$B$504,B854)&gt;0,"OK","FALTA LANÇAMENTO"))</f>
        <v/>
      </c>
    </row>
    <row r="855">
      <c r="A855" s="14" t="n"/>
      <c r="B855" s="7" t="n"/>
      <c r="C855" s="15" t="n"/>
      <c r="D855" s="15" t="n"/>
      <c r="E855" s="7" t="n"/>
      <c r="F855" s="12">
        <f>IF(OR(C855="",D855=""),"",ROUND(MOD(D855-C855,1)*24,2))</f>
        <v/>
      </c>
      <c r="G855" s="7" t="n"/>
      <c r="H855" s="17">
        <f>IF(OR(A855="",B855=""),"",IF(COUNTIFS('Lançamentos Diários'!$A$5:$A$504,A855,'Lançamentos Diários'!$B$5:$B$504,B855)&gt;0,"OK","FALTA LANÇAMENTO"))</f>
        <v/>
      </c>
    </row>
    <row r="856">
      <c r="A856" s="14" t="n"/>
      <c r="B856" s="7" t="n"/>
      <c r="C856" s="15" t="n"/>
      <c r="D856" s="15" t="n"/>
      <c r="E856" s="7" t="n"/>
      <c r="F856" s="12">
        <f>IF(OR(C856="",D856=""),"",ROUND(MOD(D856-C856,1)*24,2))</f>
        <v/>
      </c>
      <c r="G856" s="7" t="n"/>
      <c r="H856" s="17">
        <f>IF(OR(A856="",B856=""),"",IF(COUNTIFS('Lançamentos Diários'!$A$5:$A$504,A856,'Lançamentos Diários'!$B$5:$B$504,B856)&gt;0,"OK","FALTA LANÇAMENTO"))</f>
        <v/>
      </c>
    </row>
    <row r="857">
      <c r="A857" s="14" t="n"/>
      <c r="B857" s="7" t="n"/>
      <c r="C857" s="15" t="n"/>
      <c r="D857" s="15" t="n"/>
      <c r="E857" s="7" t="n"/>
      <c r="F857" s="12">
        <f>IF(OR(C857="",D857=""),"",ROUND(MOD(D857-C857,1)*24,2))</f>
        <v/>
      </c>
      <c r="G857" s="7" t="n"/>
      <c r="H857" s="17">
        <f>IF(OR(A857="",B857=""),"",IF(COUNTIFS('Lançamentos Diários'!$A$5:$A$504,A857,'Lançamentos Diários'!$B$5:$B$504,B857)&gt;0,"OK","FALTA LANÇAMENTO"))</f>
        <v/>
      </c>
    </row>
    <row r="858">
      <c r="A858" s="14" t="n"/>
      <c r="B858" s="7" t="n"/>
      <c r="C858" s="15" t="n"/>
      <c r="D858" s="15" t="n"/>
      <c r="E858" s="7" t="n"/>
      <c r="F858" s="12">
        <f>IF(OR(C858="",D858=""),"",ROUND(MOD(D858-C858,1)*24,2))</f>
        <v/>
      </c>
      <c r="G858" s="7" t="n"/>
      <c r="H858" s="17">
        <f>IF(OR(A858="",B858=""),"",IF(COUNTIFS('Lançamentos Diários'!$A$5:$A$504,A858,'Lançamentos Diários'!$B$5:$B$504,B858)&gt;0,"OK","FALTA LANÇAMENTO"))</f>
        <v/>
      </c>
    </row>
    <row r="859">
      <c r="A859" s="14" t="n"/>
      <c r="B859" s="7" t="n"/>
      <c r="C859" s="15" t="n"/>
      <c r="D859" s="15" t="n"/>
      <c r="E859" s="7" t="n"/>
      <c r="F859" s="12">
        <f>IF(OR(C859="",D859=""),"",ROUND(MOD(D859-C859,1)*24,2))</f>
        <v/>
      </c>
      <c r="G859" s="7" t="n"/>
      <c r="H859" s="17">
        <f>IF(OR(A859="",B859=""),"",IF(COUNTIFS('Lançamentos Diários'!$A$5:$A$504,A859,'Lançamentos Diários'!$B$5:$B$504,B859)&gt;0,"OK","FALTA LANÇAMENTO"))</f>
        <v/>
      </c>
    </row>
    <row r="860">
      <c r="A860" s="14" t="n"/>
      <c r="B860" s="7" t="n"/>
      <c r="C860" s="15" t="n"/>
      <c r="D860" s="15" t="n"/>
      <c r="E860" s="7" t="n"/>
      <c r="F860" s="12">
        <f>IF(OR(C860="",D860=""),"",ROUND(MOD(D860-C860,1)*24,2))</f>
        <v/>
      </c>
      <c r="G860" s="7" t="n"/>
      <c r="H860" s="17">
        <f>IF(OR(A860="",B860=""),"",IF(COUNTIFS('Lançamentos Diários'!$A$5:$A$504,A860,'Lançamentos Diários'!$B$5:$B$504,B860)&gt;0,"OK","FALTA LANÇAMENTO"))</f>
        <v/>
      </c>
    </row>
    <row r="861">
      <c r="A861" s="14" t="n"/>
      <c r="B861" s="7" t="n"/>
      <c r="C861" s="15" t="n"/>
      <c r="D861" s="15" t="n"/>
      <c r="E861" s="7" t="n"/>
      <c r="F861" s="12">
        <f>IF(OR(C861="",D861=""),"",ROUND(MOD(D861-C861,1)*24,2))</f>
        <v/>
      </c>
      <c r="G861" s="7" t="n"/>
      <c r="H861" s="17">
        <f>IF(OR(A861="",B861=""),"",IF(COUNTIFS('Lançamentos Diários'!$A$5:$A$504,A861,'Lançamentos Diários'!$B$5:$B$504,B861)&gt;0,"OK","FALTA LANÇAMENTO"))</f>
        <v/>
      </c>
    </row>
    <row r="862">
      <c r="A862" s="14" t="n"/>
      <c r="B862" s="7" t="n"/>
      <c r="C862" s="15" t="n"/>
      <c r="D862" s="15" t="n"/>
      <c r="E862" s="7" t="n"/>
      <c r="F862" s="12">
        <f>IF(OR(C862="",D862=""),"",ROUND(MOD(D862-C862,1)*24,2))</f>
        <v/>
      </c>
      <c r="G862" s="7" t="n"/>
      <c r="H862" s="17">
        <f>IF(OR(A862="",B862=""),"",IF(COUNTIFS('Lançamentos Diários'!$A$5:$A$504,A862,'Lançamentos Diários'!$B$5:$B$504,B862)&gt;0,"OK","FALTA LANÇAMENTO"))</f>
        <v/>
      </c>
    </row>
    <row r="863">
      <c r="A863" s="14" t="n"/>
      <c r="B863" s="7" t="n"/>
      <c r="C863" s="15" t="n"/>
      <c r="D863" s="15" t="n"/>
      <c r="E863" s="7" t="n"/>
      <c r="F863" s="12">
        <f>IF(OR(C863="",D863=""),"",ROUND(MOD(D863-C863,1)*24,2))</f>
        <v/>
      </c>
      <c r="G863" s="7" t="n"/>
      <c r="H863" s="17">
        <f>IF(OR(A863="",B863=""),"",IF(COUNTIFS('Lançamentos Diários'!$A$5:$A$504,A863,'Lançamentos Diários'!$B$5:$B$504,B863)&gt;0,"OK","FALTA LANÇAMENTO"))</f>
        <v/>
      </c>
    </row>
    <row r="864">
      <c r="A864" s="14" t="n"/>
      <c r="B864" s="7" t="n"/>
      <c r="C864" s="15" t="n"/>
      <c r="D864" s="15" t="n"/>
      <c r="E864" s="7" t="n"/>
      <c r="F864" s="12">
        <f>IF(OR(C864="",D864=""),"",ROUND(MOD(D864-C864,1)*24,2))</f>
        <v/>
      </c>
      <c r="G864" s="7" t="n"/>
      <c r="H864" s="17">
        <f>IF(OR(A864="",B864=""),"",IF(COUNTIFS('Lançamentos Diários'!$A$5:$A$504,A864,'Lançamentos Diários'!$B$5:$B$504,B864)&gt;0,"OK","FALTA LANÇAMENTO"))</f>
        <v/>
      </c>
    </row>
    <row r="865">
      <c r="A865" s="14" t="n"/>
      <c r="B865" s="7" t="n"/>
      <c r="C865" s="15" t="n"/>
      <c r="D865" s="15" t="n"/>
      <c r="E865" s="7" t="n"/>
      <c r="F865" s="12">
        <f>IF(OR(C865="",D865=""),"",ROUND(MOD(D865-C865,1)*24,2))</f>
        <v/>
      </c>
      <c r="G865" s="7" t="n"/>
      <c r="H865" s="17">
        <f>IF(OR(A865="",B865=""),"",IF(COUNTIFS('Lançamentos Diários'!$A$5:$A$504,A865,'Lançamentos Diários'!$B$5:$B$504,B865)&gt;0,"OK","FALTA LANÇAMENTO"))</f>
        <v/>
      </c>
    </row>
    <row r="866">
      <c r="A866" s="14" t="n"/>
      <c r="B866" s="7" t="n"/>
      <c r="C866" s="15" t="n"/>
      <c r="D866" s="15" t="n"/>
      <c r="E866" s="7" t="n"/>
      <c r="F866" s="12">
        <f>IF(OR(C866="",D866=""),"",ROUND(MOD(D866-C866,1)*24,2))</f>
        <v/>
      </c>
      <c r="G866" s="7" t="n"/>
      <c r="H866" s="17">
        <f>IF(OR(A866="",B866=""),"",IF(COUNTIFS('Lançamentos Diários'!$A$5:$A$504,A866,'Lançamentos Diários'!$B$5:$B$504,B866)&gt;0,"OK","FALTA LANÇAMENTO"))</f>
        <v/>
      </c>
    </row>
    <row r="867">
      <c r="A867" s="14" t="n"/>
      <c r="B867" s="7" t="n"/>
      <c r="C867" s="15" t="n"/>
      <c r="D867" s="15" t="n"/>
      <c r="E867" s="7" t="n"/>
      <c r="F867" s="12">
        <f>IF(OR(C867="",D867=""),"",ROUND(MOD(D867-C867,1)*24,2))</f>
        <v/>
      </c>
      <c r="G867" s="7" t="n"/>
      <c r="H867" s="17">
        <f>IF(OR(A867="",B867=""),"",IF(COUNTIFS('Lançamentos Diários'!$A$5:$A$504,A867,'Lançamentos Diários'!$B$5:$B$504,B867)&gt;0,"OK","FALTA LANÇAMENTO"))</f>
        <v/>
      </c>
    </row>
    <row r="868">
      <c r="A868" s="14" t="n"/>
      <c r="B868" s="7" t="n"/>
      <c r="C868" s="15" t="n"/>
      <c r="D868" s="15" t="n"/>
      <c r="E868" s="7" t="n"/>
      <c r="F868" s="12">
        <f>IF(OR(C868="",D868=""),"",ROUND(MOD(D868-C868,1)*24,2))</f>
        <v/>
      </c>
      <c r="G868" s="7" t="n"/>
      <c r="H868" s="17">
        <f>IF(OR(A868="",B868=""),"",IF(COUNTIFS('Lançamentos Diários'!$A$5:$A$504,A868,'Lançamentos Diários'!$B$5:$B$504,B868)&gt;0,"OK","FALTA LANÇAMENTO"))</f>
        <v/>
      </c>
    </row>
    <row r="869">
      <c r="A869" s="14" t="n"/>
      <c r="B869" s="7" t="n"/>
      <c r="C869" s="15" t="n"/>
      <c r="D869" s="15" t="n"/>
      <c r="E869" s="7" t="n"/>
      <c r="F869" s="12">
        <f>IF(OR(C869="",D869=""),"",ROUND(MOD(D869-C869,1)*24,2))</f>
        <v/>
      </c>
      <c r="G869" s="7" t="n"/>
      <c r="H869" s="17">
        <f>IF(OR(A869="",B869=""),"",IF(COUNTIFS('Lançamentos Diários'!$A$5:$A$504,A869,'Lançamentos Diários'!$B$5:$B$504,B869)&gt;0,"OK","FALTA LANÇAMENTO"))</f>
        <v/>
      </c>
    </row>
    <row r="870">
      <c r="A870" s="14" t="n"/>
      <c r="B870" s="7" t="n"/>
      <c r="C870" s="15" t="n"/>
      <c r="D870" s="15" t="n"/>
      <c r="E870" s="7" t="n"/>
      <c r="F870" s="12">
        <f>IF(OR(C870="",D870=""),"",ROUND(MOD(D870-C870,1)*24,2))</f>
        <v/>
      </c>
      <c r="G870" s="7" t="n"/>
      <c r="H870" s="17">
        <f>IF(OR(A870="",B870=""),"",IF(COUNTIFS('Lançamentos Diários'!$A$5:$A$504,A870,'Lançamentos Diários'!$B$5:$B$504,B870)&gt;0,"OK","FALTA LANÇAMENTO"))</f>
        <v/>
      </c>
    </row>
    <row r="871">
      <c r="A871" s="14" t="n"/>
      <c r="B871" s="7" t="n"/>
      <c r="C871" s="15" t="n"/>
      <c r="D871" s="15" t="n"/>
      <c r="E871" s="7" t="n"/>
      <c r="F871" s="12">
        <f>IF(OR(C871="",D871=""),"",ROUND(MOD(D871-C871,1)*24,2))</f>
        <v/>
      </c>
      <c r="G871" s="7" t="n"/>
      <c r="H871" s="17">
        <f>IF(OR(A871="",B871=""),"",IF(COUNTIFS('Lançamentos Diários'!$A$5:$A$504,A871,'Lançamentos Diários'!$B$5:$B$504,B871)&gt;0,"OK","FALTA LANÇAMENTO"))</f>
        <v/>
      </c>
    </row>
    <row r="872">
      <c r="A872" s="14" t="n"/>
      <c r="B872" s="7" t="n"/>
      <c r="C872" s="15" t="n"/>
      <c r="D872" s="15" t="n"/>
      <c r="E872" s="7" t="n"/>
      <c r="F872" s="12">
        <f>IF(OR(C872="",D872=""),"",ROUND(MOD(D872-C872,1)*24,2))</f>
        <v/>
      </c>
      <c r="G872" s="7" t="n"/>
      <c r="H872" s="17">
        <f>IF(OR(A872="",B872=""),"",IF(COUNTIFS('Lançamentos Diários'!$A$5:$A$504,A872,'Lançamentos Diários'!$B$5:$B$504,B872)&gt;0,"OK","FALTA LANÇAMENTO"))</f>
        <v/>
      </c>
    </row>
    <row r="873">
      <c r="A873" s="14" t="n"/>
      <c r="B873" s="7" t="n"/>
      <c r="C873" s="15" t="n"/>
      <c r="D873" s="15" t="n"/>
      <c r="E873" s="7" t="n"/>
      <c r="F873" s="12">
        <f>IF(OR(C873="",D873=""),"",ROUND(MOD(D873-C873,1)*24,2))</f>
        <v/>
      </c>
      <c r="G873" s="7" t="n"/>
      <c r="H873" s="17">
        <f>IF(OR(A873="",B873=""),"",IF(COUNTIFS('Lançamentos Diários'!$A$5:$A$504,A873,'Lançamentos Diários'!$B$5:$B$504,B873)&gt;0,"OK","FALTA LANÇAMENTO"))</f>
        <v/>
      </c>
    </row>
    <row r="874">
      <c r="A874" s="14" t="n"/>
      <c r="B874" s="7" t="n"/>
      <c r="C874" s="15" t="n"/>
      <c r="D874" s="15" t="n"/>
      <c r="E874" s="7" t="n"/>
      <c r="F874" s="12">
        <f>IF(OR(C874="",D874=""),"",ROUND(MOD(D874-C874,1)*24,2))</f>
        <v/>
      </c>
      <c r="G874" s="7" t="n"/>
      <c r="H874" s="17">
        <f>IF(OR(A874="",B874=""),"",IF(COUNTIFS('Lançamentos Diários'!$A$5:$A$504,A874,'Lançamentos Diários'!$B$5:$B$504,B874)&gt;0,"OK","FALTA LANÇAMENTO"))</f>
        <v/>
      </c>
    </row>
    <row r="875">
      <c r="A875" s="14" t="n"/>
      <c r="B875" s="7" t="n"/>
      <c r="C875" s="15" t="n"/>
      <c r="D875" s="15" t="n"/>
      <c r="E875" s="7" t="n"/>
      <c r="F875" s="12">
        <f>IF(OR(C875="",D875=""),"",ROUND(MOD(D875-C875,1)*24,2))</f>
        <v/>
      </c>
      <c r="G875" s="7" t="n"/>
      <c r="H875" s="17">
        <f>IF(OR(A875="",B875=""),"",IF(COUNTIFS('Lançamentos Diários'!$A$5:$A$504,A875,'Lançamentos Diários'!$B$5:$B$504,B875)&gt;0,"OK","FALTA LANÇAMENTO"))</f>
        <v/>
      </c>
    </row>
    <row r="876">
      <c r="A876" s="14" t="n"/>
      <c r="B876" s="7" t="n"/>
      <c r="C876" s="15" t="n"/>
      <c r="D876" s="15" t="n"/>
      <c r="E876" s="7" t="n"/>
      <c r="F876" s="12">
        <f>IF(OR(C876="",D876=""),"",ROUND(MOD(D876-C876,1)*24,2))</f>
        <v/>
      </c>
      <c r="G876" s="7" t="n"/>
      <c r="H876" s="17">
        <f>IF(OR(A876="",B876=""),"",IF(COUNTIFS('Lançamentos Diários'!$A$5:$A$504,A876,'Lançamentos Diários'!$B$5:$B$504,B876)&gt;0,"OK","FALTA LANÇAMENTO"))</f>
        <v/>
      </c>
    </row>
    <row r="877">
      <c r="A877" s="14" t="n"/>
      <c r="B877" s="7" t="n"/>
      <c r="C877" s="15" t="n"/>
      <c r="D877" s="15" t="n"/>
      <c r="E877" s="7" t="n"/>
      <c r="F877" s="12">
        <f>IF(OR(C877="",D877=""),"",ROUND(MOD(D877-C877,1)*24,2))</f>
        <v/>
      </c>
      <c r="G877" s="7" t="n"/>
      <c r="H877" s="17">
        <f>IF(OR(A877="",B877=""),"",IF(COUNTIFS('Lançamentos Diários'!$A$5:$A$504,A877,'Lançamentos Diários'!$B$5:$B$504,B877)&gt;0,"OK","FALTA LANÇAMENTO"))</f>
        <v/>
      </c>
    </row>
    <row r="878">
      <c r="A878" s="14" t="n"/>
      <c r="B878" s="7" t="n"/>
      <c r="C878" s="15" t="n"/>
      <c r="D878" s="15" t="n"/>
      <c r="E878" s="7" t="n"/>
      <c r="F878" s="12">
        <f>IF(OR(C878="",D878=""),"",ROUND(MOD(D878-C878,1)*24,2))</f>
        <v/>
      </c>
      <c r="G878" s="7" t="n"/>
      <c r="H878" s="17">
        <f>IF(OR(A878="",B878=""),"",IF(COUNTIFS('Lançamentos Diários'!$A$5:$A$504,A878,'Lançamentos Diários'!$B$5:$B$504,B878)&gt;0,"OK","FALTA LANÇAMENTO"))</f>
        <v/>
      </c>
    </row>
    <row r="879">
      <c r="A879" s="14" t="n"/>
      <c r="B879" s="7" t="n"/>
      <c r="C879" s="15" t="n"/>
      <c r="D879" s="15" t="n"/>
      <c r="E879" s="7" t="n"/>
      <c r="F879" s="12">
        <f>IF(OR(C879="",D879=""),"",ROUND(MOD(D879-C879,1)*24,2))</f>
        <v/>
      </c>
      <c r="G879" s="7" t="n"/>
      <c r="H879" s="17">
        <f>IF(OR(A879="",B879=""),"",IF(COUNTIFS('Lançamentos Diários'!$A$5:$A$504,A879,'Lançamentos Diários'!$B$5:$B$504,B879)&gt;0,"OK","FALTA LANÇAMENTO"))</f>
        <v/>
      </c>
    </row>
    <row r="880">
      <c r="A880" s="14" t="n"/>
      <c r="B880" s="7" t="n"/>
      <c r="C880" s="15" t="n"/>
      <c r="D880" s="15" t="n"/>
      <c r="E880" s="7" t="n"/>
      <c r="F880" s="12">
        <f>IF(OR(C880="",D880=""),"",ROUND(MOD(D880-C880,1)*24,2))</f>
        <v/>
      </c>
      <c r="G880" s="7" t="n"/>
      <c r="H880" s="17">
        <f>IF(OR(A880="",B880=""),"",IF(COUNTIFS('Lançamentos Diários'!$A$5:$A$504,A880,'Lançamentos Diários'!$B$5:$B$504,B880)&gt;0,"OK","FALTA LANÇAMENTO"))</f>
        <v/>
      </c>
    </row>
    <row r="881">
      <c r="A881" s="14" t="n"/>
      <c r="B881" s="7" t="n"/>
      <c r="C881" s="15" t="n"/>
      <c r="D881" s="15" t="n"/>
      <c r="E881" s="7" t="n"/>
      <c r="F881" s="12">
        <f>IF(OR(C881="",D881=""),"",ROUND(MOD(D881-C881,1)*24,2))</f>
        <v/>
      </c>
      <c r="G881" s="7" t="n"/>
      <c r="H881" s="17">
        <f>IF(OR(A881="",B881=""),"",IF(COUNTIFS('Lançamentos Diários'!$A$5:$A$504,A881,'Lançamentos Diários'!$B$5:$B$504,B881)&gt;0,"OK","FALTA LANÇAMENTO"))</f>
        <v/>
      </c>
    </row>
    <row r="882">
      <c r="A882" s="14" t="n"/>
      <c r="B882" s="7" t="n"/>
      <c r="C882" s="15" t="n"/>
      <c r="D882" s="15" t="n"/>
      <c r="E882" s="7" t="n"/>
      <c r="F882" s="12">
        <f>IF(OR(C882="",D882=""),"",ROUND(MOD(D882-C882,1)*24,2))</f>
        <v/>
      </c>
      <c r="G882" s="7" t="n"/>
      <c r="H882" s="17">
        <f>IF(OR(A882="",B882=""),"",IF(COUNTIFS('Lançamentos Diários'!$A$5:$A$504,A882,'Lançamentos Diários'!$B$5:$B$504,B882)&gt;0,"OK","FALTA LANÇAMENTO"))</f>
        <v/>
      </c>
    </row>
    <row r="883">
      <c r="A883" s="14" t="n"/>
      <c r="B883" s="7" t="n"/>
      <c r="C883" s="15" t="n"/>
      <c r="D883" s="15" t="n"/>
      <c r="E883" s="7" t="n"/>
      <c r="F883" s="12">
        <f>IF(OR(C883="",D883=""),"",ROUND(MOD(D883-C883,1)*24,2))</f>
        <v/>
      </c>
      <c r="G883" s="7" t="n"/>
      <c r="H883" s="17">
        <f>IF(OR(A883="",B883=""),"",IF(COUNTIFS('Lançamentos Diários'!$A$5:$A$504,A883,'Lançamentos Diários'!$B$5:$B$504,B883)&gt;0,"OK","FALTA LANÇAMENTO"))</f>
        <v/>
      </c>
    </row>
    <row r="884">
      <c r="A884" s="14" t="n"/>
      <c r="B884" s="7" t="n"/>
      <c r="C884" s="15" t="n"/>
      <c r="D884" s="15" t="n"/>
      <c r="E884" s="7" t="n"/>
      <c r="F884" s="12">
        <f>IF(OR(C884="",D884=""),"",ROUND(MOD(D884-C884,1)*24,2))</f>
        <v/>
      </c>
      <c r="G884" s="7" t="n"/>
      <c r="H884" s="17">
        <f>IF(OR(A884="",B884=""),"",IF(COUNTIFS('Lançamentos Diários'!$A$5:$A$504,A884,'Lançamentos Diários'!$B$5:$B$504,B884)&gt;0,"OK","FALTA LANÇAMENTO"))</f>
        <v/>
      </c>
    </row>
    <row r="885">
      <c r="A885" s="14" t="n"/>
      <c r="B885" s="7" t="n"/>
      <c r="C885" s="15" t="n"/>
      <c r="D885" s="15" t="n"/>
      <c r="E885" s="7" t="n"/>
      <c r="F885" s="12">
        <f>IF(OR(C885="",D885=""),"",ROUND(MOD(D885-C885,1)*24,2))</f>
        <v/>
      </c>
      <c r="G885" s="7" t="n"/>
      <c r="H885" s="17">
        <f>IF(OR(A885="",B885=""),"",IF(COUNTIFS('Lançamentos Diários'!$A$5:$A$504,A885,'Lançamentos Diários'!$B$5:$B$504,B885)&gt;0,"OK","FALTA LANÇAMENTO"))</f>
        <v/>
      </c>
    </row>
    <row r="886">
      <c r="A886" s="14" t="n"/>
      <c r="B886" s="7" t="n"/>
      <c r="C886" s="15" t="n"/>
      <c r="D886" s="15" t="n"/>
      <c r="E886" s="7" t="n"/>
      <c r="F886" s="12">
        <f>IF(OR(C886="",D886=""),"",ROUND(MOD(D886-C886,1)*24,2))</f>
        <v/>
      </c>
      <c r="G886" s="7" t="n"/>
      <c r="H886" s="17">
        <f>IF(OR(A886="",B886=""),"",IF(COUNTIFS('Lançamentos Diários'!$A$5:$A$504,A886,'Lançamentos Diários'!$B$5:$B$504,B886)&gt;0,"OK","FALTA LANÇAMENTO"))</f>
        <v/>
      </c>
    </row>
    <row r="887">
      <c r="A887" s="14" t="n"/>
      <c r="B887" s="7" t="n"/>
      <c r="C887" s="15" t="n"/>
      <c r="D887" s="15" t="n"/>
      <c r="E887" s="7" t="n"/>
      <c r="F887" s="12">
        <f>IF(OR(C887="",D887=""),"",ROUND(MOD(D887-C887,1)*24,2))</f>
        <v/>
      </c>
      <c r="G887" s="7" t="n"/>
      <c r="H887" s="17">
        <f>IF(OR(A887="",B887=""),"",IF(COUNTIFS('Lançamentos Diários'!$A$5:$A$504,A887,'Lançamentos Diários'!$B$5:$B$504,B887)&gt;0,"OK","FALTA LANÇAMENTO"))</f>
        <v/>
      </c>
    </row>
    <row r="888">
      <c r="A888" s="14" t="n"/>
      <c r="B888" s="7" t="n"/>
      <c r="C888" s="15" t="n"/>
      <c r="D888" s="15" t="n"/>
      <c r="E888" s="7" t="n"/>
      <c r="F888" s="12">
        <f>IF(OR(C888="",D888=""),"",ROUND(MOD(D888-C888,1)*24,2))</f>
        <v/>
      </c>
      <c r="G888" s="7" t="n"/>
      <c r="H888" s="17">
        <f>IF(OR(A888="",B888=""),"",IF(COUNTIFS('Lançamentos Diários'!$A$5:$A$504,A888,'Lançamentos Diários'!$B$5:$B$504,B888)&gt;0,"OK","FALTA LANÇAMENTO"))</f>
        <v/>
      </c>
    </row>
    <row r="889">
      <c r="A889" s="14" t="n"/>
      <c r="B889" s="7" t="n"/>
      <c r="C889" s="15" t="n"/>
      <c r="D889" s="15" t="n"/>
      <c r="E889" s="7" t="n"/>
      <c r="F889" s="12">
        <f>IF(OR(C889="",D889=""),"",ROUND(MOD(D889-C889,1)*24,2))</f>
        <v/>
      </c>
      <c r="G889" s="7" t="n"/>
      <c r="H889" s="17">
        <f>IF(OR(A889="",B889=""),"",IF(COUNTIFS('Lançamentos Diários'!$A$5:$A$504,A889,'Lançamentos Diários'!$B$5:$B$504,B889)&gt;0,"OK","FALTA LANÇAMENTO"))</f>
        <v/>
      </c>
    </row>
    <row r="890">
      <c r="A890" s="14" t="n"/>
      <c r="B890" s="7" t="n"/>
      <c r="C890" s="15" t="n"/>
      <c r="D890" s="15" t="n"/>
      <c r="E890" s="7" t="n"/>
      <c r="F890" s="12">
        <f>IF(OR(C890="",D890=""),"",ROUND(MOD(D890-C890,1)*24,2))</f>
        <v/>
      </c>
      <c r="G890" s="7" t="n"/>
      <c r="H890" s="17">
        <f>IF(OR(A890="",B890=""),"",IF(COUNTIFS('Lançamentos Diários'!$A$5:$A$504,A890,'Lançamentos Diários'!$B$5:$B$504,B890)&gt;0,"OK","FALTA LANÇAMENTO"))</f>
        <v/>
      </c>
    </row>
    <row r="891">
      <c r="A891" s="14" t="n"/>
      <c r="B891" s="7" t="n"/>
      <c r="C891" s="15" t="n"/>
      <c r="D891" s="15" t="n"/>
      <c r="E891" s="7" t="n"/>
      <c r="F891" s="12">
        <f>IF(OR(C891="",D891=""),"",ROUND(MOD(D891-C891,1)*24,2))</f>
        <v/>
      </c>
      <c r="G891" s="7" t="n"/>
      <c r="H891" s="17">
        <f>IF(OR(A891="",B891=""),"",IF(COUNTIFS('Lançamentos Diários'!$A$5:$A$504,A891,'Lançamentos Diários'!$B$5:$B$504,B891)&gt;0,"OK","FALTA LANÇAMENTO"))</f>
        <v/>
      </c>
    </row>
    <row r="892">
      <c r="A892" s="14" t="n"/>
      <c r="B892" s="7" t="n"/>
      <c r="C892" s="15" t="n"/>
      <c r="D892" s="15" t="n"/>
      <c r="E892" s="7" t="n"/>
      <c r="F892" s="12">
        <f>IF(OR(C892="",D892=""),"",ROUND(MOD(D892-C892,1)*24,2))</f>
        <v/>
      </c>
      <c r="G892" s="7" t="n"/>
      <c r="H892" s="17">
        <f>IF(OR(A892="",B892=""),"",IF(COUNTIFS('Lançamentos Diários'!$A$5:$A$504,A892,'Lançamentos Diários'!$B$5:$B$504,B892)&gt;0,"OK","FALTA LANÇAMENTO"))</f>
        <v/>
      </c>
    </row>
    <row r="893">
      <c r="A893" s="14" t="n"/>
      <c r="B893" s="7" t="n"/>
      <c r="C893" s="15" t="n"/>
      <c r="D893" s="15" t="n"/>
      <c r="E893" s="7" t="n"/>
      <c r="F893" s="12">
        <f>IF(OR(C893="",D893=""),"",ROUND(MOD(D893-C893,1)*24,2))</f>
        <v/>
      </c>
      <c r="G893" s="7" t="n"/>
      <c r="H893" s="17">
        <f>IF(OR(A893="",B893=""),"",IF(COUNTIFS('Lançamentos Diários'!$A$5:$A$504,A893,'Lançamentos Diários'!$B$5:$B$504,B893)&gt;0,"OK","FALTA LANÇAMENTO"))</f>
        <v/>
      </c>
    </row>
    <row r="894">
      <c r="A894" s="14" t="n"/>
      <c r="B894" s="7" t="n"/>
      <c r="C894" s="15" t="n"/>
      <c r="D894" s="15" t="n"/>
      <c r="E894" s="7" t="n"/>
      <c r="F894" s="12">
        <f>IF(OR(C894="",D894=""),"",ROUND(MOD(D894-C894,1)*24,2))</f>
        <v/>
      </c>
      <c r="G894" s="7" t="n"/>
      <c r="H894" s="17">
        <f>IF(OR(A894="",B894=""),"",IF(COUNTIFS('Lançamentos Diários'!$A$5:$A$504,A894,'Lançamentos Diários'!$B$5:$B$504,B894)&gt;0,"OK","FALTA LANÇAMENTO"))</f>
        <v/>
      </c>
    </row>
    <row r="895">
      <c r="A895" s="14" t="n"/>
      <c r="B895" s="7" t="n"/>
      <c r="C895" s="15" t="n"/>
      <c r="D895" s="15" t="n"/>
      <c r="E895" s="7" t="n"/>
      <c r="F895" s="12">
        <f>IF(OR(C895="",D895=""),"",ROUND(MOD(D895-C895,1)*24,2))</f>
        <v/>
      </c>
      <c r="G895" s="7" t="n"/>
      <c r="H895" s="17">
        <f>IF(OR(A895="",B895=""),"",IF(COUNTIFS('Lançamentos Diários'!$A$5:$A$504,A895,'Lançamentos Diários'!$B$5:$B$504,B895)&gt;0,"OK","FALTA LANÇAMENTO"))</f>
        <v/>
      </c>
    </row>
    <row r="896">
      <c r="A896" s="14" t="n"/>
      <c r="B896" s="7" t="n"/>
      <c r="C896" s="15" t="n"/>
      <c r="D896" s="15" t="n"/>
      <c r="E896" s="7" t="n"/>
      <c r="F896" s="12">
        <f>IF(OR(C896="",D896=""),"",ROUND(MOD(D896-C896,1)*24,2))</f>
        <v/>
      </c>
      <c r="G896" s="7" t="n"/>
      <c r="H896" s="17">
        <f>IF(OR(A896="",B896=""),"",IF(COUNTIFS('Lançamentos Diários'!$A$5:$A$504,A896,'Lançamentos Diários'!$B$5:$B$504,B896)&gt;0,"OK","FALTA LANÇAMENTO"))</f>
        <v/>
      </c>
    </row>
    <row r="897">
      <c r="A897" s="14" t="n"/>
      <c r="B897" s="7" t="n"/>
      <c r="C897" s="15" t="n"/>
      <c r="D897" s="15" t="n"/>
      <c r="E897" s="7" t="n"/>
      <c r="F897" s="12">
        <f>IF(OR(C897="",D897=""),"",ROUND(MOD(D897-C897,1)*24,2))</f>
        <v/>
      </c>
      <c r="G897" s="7" t="n"/>
      <c r="H897" s="17">
        <f>IF(OR(A897="",B897=""),"",IF(COUNTIFS('Lançamentos Diários'!$A$5:$A$504,A897,'Lançamentos Diários'!$B$5:$B$504,B897)&gt;0,"OK","FALTA LANÇAMENTO"))</f>
        <v/>
      </c>
    </row>
    <row r="898">
      <c r="A898" s="14" t="n"/>
      <c r="B898" s="7" t="n"/>
      <c r="C898" s="15" t="n"/>
      <c r="D898" s="15" t="n"/>
      <c r="E898" s="7" t="n"/>
      <c r="F898" s="12">
        <f>IF(OR(C898="",D898=""),"",ROUND(MOD(D898-C898,1)*24,2))</f>
        <v/>
      </c>
      <c r="G898" s="7" t="n"/>
      <c r="H898" s="17">
        <f>IF(OR(A898="",B898=""),"",IF(COUNTIFS('Lançamentos Diários'!$A$5:$A$504,A898,'Lançamentos Diários'!$B$5:$B$504,B898)&gt;0,"OK","FALTA LANÇAMENTO"))</f>
        <v/>
      </c>
    </row>
    <row r="899">
      <c r="A899" s="14" t="n"/>
      <c r="B899" s="7" t="n"/>
      <c r="C899" s="15" t="n"/>
      <c r="D899" s="15" t="n"/>
      <c r="E899" s="7" t="n"/>
      <c r="F899" s="12">
        <f>IF(OR(C899="",D899=""),"",ROUND(MOD(D899-C899,1)*24,2))</f>
        <v/>
      </c>
      <c r="G899" s="7" t="n"/>
      <c r="H899" s="17">
        <f>IF(OR(A899="",B899=""),"",IF(COUNTIFS('Lançamentos Diários'!$A$5:$A$504,A899,'Lançamentos Diários'!$B$5:$B$504,B899)&gt;0,"OK","FALTA LANÇAMENTO"))</f>
        <v/>
      </c>
    </row>
    <row r="900">
      <c r="A900" s="14" t="n"/>
      <c r="B900" s="7" t="n"/>
      <c r="C900" s="15" t="n"/>
      <c r="D900" s="15" t="n"/>
      <c r="E900" s="7" t="n"/>
      <c r="F900" s="12">
        <f>IF(OR(C900="",D900=""),"",ROUND(MOD(D900-C900,1)*24,2))</f>
        <v/>
      </c>
      <c r="G900" s="7" t="n"/>
      <c r="H900" s="17">
        <f>IF(OR(A900="",B900=""),"",IF(COUNTIFS('Lançamentos Diários'!$A$5:$A$504,A900,'Lançamentos Diários'!$B$5:$B$504,B900)&gt;0,"OK","FALTA LANÇAMENTO"))</f>
        <v/>
      </c>
    </row>
    <row r="901">
      <c r="A901" s="14" t="n"/>
      <c r="B901" s="7" t="n"/>
      <c r="C901" s="15" t="n"/>
      <c r="D901" s="15" t="n"/>
      <c r="E901" s="7" t="n"/>
      <c r="F901" s="12">
        <f>IF(OR(C901="",D901=""),"",ROUND(MOD(D901-C901,1)*24,2))</f>
        <v/>
      </c>
      <c r="G901" s="7" t="n"/>
      <c r="H901" s="17">
        <f>IF(OR(A901="",B901=""),"",IF(COUNTIFS('Lançamentos Diários'!$A$5:$A$504,A901,'Lançamentos Diários'!$B$5:$B$504,B901)&gt;0,"OK","FALTA LANÇAMENTO"))</f>
        <v/>
      </c>
    </row>
    <row r="902">
      <c r="A902" s="14" t="n"/>
      <c r="B902" s="7" t="n"/>
      <c r="C902" s="15" t="n"/>
      <c r="D902" s="15" t="n"/>
      <c r="E902" s="7" t="n"/>
      <c r="F902" s="12">
        <f>IF(OR(C902="",D902=""),"",ROUND(MOD(D902-C902,1)*24,2))</f>
        <v/>
      </c>
      <c r="G902" s="7" t="n"/>
      <c r="H902" s="17">
        <f>IF(OR(A902="",B902=""),"",IF(COUNTIFS('Lançamentos Diários'!$A$5:$A$504,A902,'Lançamentos Diários'!$B$5:$B$504,B902)&gt;0,"OK","FALTA LANÇAMENTO"))</f>
        <v/>
      </c>
    </row>
    <row r="903">
      <c r="A903" s="14" t="n"/>
      <c r="B903" s="7" t="n"/>
      <c r="C903" s="15" t="n"/>
      <c r="D903" s="15" t="n"/>
      <c r="E903" s="7" t="n"/>
      <c r="F903" s="12">
        <f>IF(OR(C903="",D903=""),"",ROUND(MOD(D903-C903,1)*24,2))</f>
        <v/>
      </c>
      <c r="G903" s="7" t="n"/>
      <c r="H903" s="17">
        <f>IF(OR(A903="",B903=""),"",IF(COUNTIFS('Lançamentos Diários'!$A$5:$A$504,A903,'Lançamentos Diários'!$B$5:$B$504,B903)&gt;0,"OK","FALTA LANÇAMENTO"))</f>
        <v/>
      </c>
    </row>
    <row r="904">
      <c r="A904" s="14" t="n"/>
      <c r="B904" s="7" t="n"/>
      <c r="C904" s="15" t="n"/>
      <c r="D904" s="15" t="n"/>
      <c r="E904" s="7" t="n"/>
      <c r="F904" s="12">
        <f>IF(OR(C904="",D904=""),"",ROUND(MOD(D904-C904,1)*24,2))</f>
        <v/>
      </c>
      <c r="G904" s="7" t="n"/>
      <c r="H904" s="17">
        <f>IF(OR(A904="",B904=""),"",IF(COUNTIFS('Lançamentos Diários'!$A$5:$A$504,A904,'Lançamentos Diários'!$B$5:$B$504,B904)&gt;0,"OK","FALTA LANÇAMENTO"))</f>
        <v/>
      </c>
    </row>
    <row r="905">
      <c r="A905" s="14" t="n"/>
      <c r="B905" s="7" t="n"/>
      <c r="C905" s="15" t="n"/>
      <c r="D905" s="15" t="n"/>
      <c r="E905" s="7" t="n"/>
      <c r="F905" s="12">
        <f>IF(OR(C905="",D905=""),"",ROUND(MOD(D905-C905,1)*24,2))</f>
        <v/>
      </c>
      <c r="G905" s="7" t="n"/>
      <c r="H905" s="17">
        <f>IF(OR(A905="",B905=""),"",IF(COUNTIFS('Lançamentos Diários'!$A$5:$A$504,A905,'Lançamentos Diários'!$B$5:$B$504,B905)&gt;0,"OK","FALTA LANÇAMENTO"))</f>
        <v/>
      </c>
    </row>
    <row r="906">
      <c r="A906" s="14" t="n"/>
      <c r="B906" s="7" t="n"/>
      <c r="C906" s="15" t="n"/>
      <c r="D906" s="15" t="n"/>
      <c r="E906" s="7" t="n"/>
      <c r="F906" s="12">
        <f>IF(OR(C906="",D906=""),"",ROUND(MOD(D906-C906,1)*24,2))</f>
        <v/>
      </c>
      <c r="G906" s="7" t="n"/>
      <c r="H906" s="17">
        <f>IF(OR(A906="",B906=""),"",IF(COUNTIFS('Lançamentos Diários'!$A$5:$A$504,A906,'Lançamentos Diários'!$B$5:$B$504,B906)&gt;0,"OK","FALTA LANÇAMENTO"))</f>
        <v/>
      </c>
    </row>
    <row r="907">
      <c r="A907" s="14" t="n"/>
      <c r="B907" s="7" t="n"/>
      <c r="C907" s="15" t="n"/>
      <c r="D907" s="15" t="n"/>
      <c r="E907" s="7" t="n"/>
      <c r="F907" s="12">
        <f>IF(OR(C907="",D907=""),"",ROUND(MOD(D907-C907,1)*24,2))</f>
        <v/>
      </c>
      <c r="G907" s="7" t="n"/>
      <c r="H907" s="17">
        <f>IF(OR(A907="",B907=""),"",IF(COUNTIFS('Lançamentos Diários'!$A$5:$A$504,A907,'Lançamentos Diários'!$B$5:$B$504,B907)&gt;0,"OK","FALTA LANÇAMENTO"))</f>
        <v/>
      </c>
    </row>
    <row r="908">
      <c r="A908" s="14" t="n"/>
      <c r="B908" s="7" t="n"/>
      <c r="C908" s="15" t="n"/>
      <c r="D908" s="15" t="n"/>
      <c r="E908" s="7" t="n"/>
      <c r="F908" s="12">
        <f>IF(OR(C908="",D908=""),"",ROUND(MOD(D908-C908,1)*24,2))</f>
        <v/>
      </c>
      <c r="G908" s="7" t="n"/>
      <c r="H908" s="17">
        <f>IF(OR(A908="",B908=""),"",IF(COUNTIFS('Lançamentos Diários'!$A$5:$A$504,A908,'Lançamentos Diários'!$B$5:$B$504,B908)&gt;0,"OK","FALTA LANÇAMENTO"))</f>
        <v/>
      </c>
    </row>
    <row r="909">
      <c r="A909" s="14" t="n"/>
      <c r="B909" s="7" t="n"/>
      <c r="C909" s="15" t="n"/>
      <c r="D909" s="15" t="n"/>
      <c r="E909" s="7" t="n"/>
      <c r="F909" s="12">
        <f>IF(OR(C909="",D909=""),"",ROUND(MOD(D909-C909,1)*24,2))</f>
        <v/>
      </c>
      <c r="G909" s="7" t="n"/>
      <c r="H909" s="17">
        <f>IF(OR(A909="",B909=""),"",IF(COUNTIFS('Lançamentos Diários'!$A$5:$A$504,A909,'Lançamentos Diários'!$B$5:$B$504,B909)&gt;0,"OK","FALTA LANÇAMENTO"))</f>
        <v/>
      </c>
    </row>
    <row r="910">
      <c r="A910" s="14" t="n"/>
      <c r="B910" s="7" t="n"/>
      <c r="C910" s="15" t="n"/>
      <c r="D910" s="15" t="n"/>
      <c r="E910" s="7" t="n"/>
      <c r="F910" s="12">
        <f>IF(OR(C910="",D910=""),"",ROUND(MOD(D910-C910,1)*24,2))</f>
        <v/>
      </c>
      <c r="G910" s="7" t="n"/>
      <c r="H910" s="17">
        <f>IF(OR(A910="",B910=""),"",IF(COUNTIFS('Lançamentos Diários'!$A$5:$A$504,A910,'Lançamentos Diários'!$B$5:$B$504,B910)&gt;0,"OK","FALTA LANÇAMENTO"))</f>
        <v/>
      </c>
    </row>
    <row r="911">
      <c r="A911" s="14" t="n"/>
      <c r="B911" s="7" t="n"/>
      <c r="C911" s="15" t="n"/>
      <c r="D911" s="15" t="n"/>
      <c r="E911" s="7" t="n"/>
      <c r="F911" s="12">
        <f>IF(OR(C911="",D911=""),"",ROUND(MOD(D911-C911,1)*24,2))</f>
        <v/>
      </c>
      <c r="G911" s="7" t="n"/>
      <c r="H911" s="17">
        <f>IF(OR(A911="",B911=""),"",IF(COUNTIFS('Lançamentos Diários'!$A$5:$A$504,A911,'Lançamentos Diários'!$B$5:$B$504,B911)&gt;0,"OK","FALTA LANÇAMENTO"))</f>
        <v/>
      </c>
    </row>
    <row r="912">
      <c r="A912" s="14" t="n"/>
      <c r="B912" s="7" t="n"/>
      <c r="C912" s="15" t="n"/>
      <c r="D912" s="15" t="n"/>
      <c r="E912" s="7" t="n"/>
      <c r="F912" s="12">
        <f>IF(OR(C912="",D912=""),"",ROUND(MOD(D912-C912,1)*24,2))</f>
        <v/>
      </c>
      <c r="G912" s="7" t="n"/>
      <c r="H912" s="17">
        <f>IF(OR(A912="",B912=""),"",IF(COUNTIFS('Lançamentos Diários'!$A$5:$A$504,A912,'Lançamentos Diários'!$B$5:$B$504,B912)&gt;0,"OK","FALTA LANÇAMENTO"))</f>
        <v/>
      </c>
    </row>
    <row r="913">
      <c r="A913" s="14" t="n"/>
      <c r="B913" s="7" t="n"/>
      <c r="C913" s="15" t="n"/>
      <c r="D913" s="15" t="n"/>
      <c r="E913" s="7" t="n"/>
      <c r="F913" s="12">
        <f>IF(OR(C913="",D913=""),"",ROUND(MOD(D913-C913,1)*24,2))</f>
        <v/>
      </c>
      <c r="G913" s="7" t="n"/>
      <c r="H913" s="17">
        <f>IF(OR(A913="",B913=""),"",IF(COUNTIFS('Lançamentos Diários'!$A$5:$A$504,A913,'Lançamentos Diários'!$B$5:$B$504,B913)&gt;0,"OK","FALTA LANÇAMENTO"))</f>
        <v/>
      </c>
    </row>
    <row r="914">
      <c r="A914" s="14" t="n"/>
      <c r="B914" s="7" t="n"/>
      <c r="C914" s="15" t="n"/>
      <c r="D914" s="15" t="n"/>
      <c r="E914" s="7" t="n"/>
      <c r="F914" s="12">
        <f>IF(OR(C914="",D914=""),"",ROUND(MOD(D914-C914,1)*24,2))</f>
        <v/>
      </c>
      <c r="G914" s="7" t="n"/>
      <c r="H914" s="17">
        <f>IF(OR(A914="",B914=""),"",IF(COUNTIFS('Lançamentos Diários'!$A$5:$A$504,A914,'Lançamentos Diários'!$B$5:$B$504,B914)&gt;0,"OK","FALTA LANÇAMENTO"))</f>
        <v/>
      </c>
    </row>
    <row r="915">
      <c r="A915" s="14" t="n"/>
      <c r="B915" s="7" t="n"/>
      <c r="C915" s="15" t="n"/>
      <c r="D915" s="15" t="n"/>
      <c r="E915" s="7" t="n"/>
      <c r="F915" s="12">
        <f>IF(OR(C915="",D915=""),"",ROUND(MOD(D915-C915,1)*24,2))</f>
        <v/>
      </c>
      <c r="G915" s="7" t="n"/>
      <c r="H915" s="17">
        <f>IF(OR(A915="",B915=""),"",IF(COUNTIFS('Lançamentos Diários'!$A$5:$A$504,A915,'Lançamentos Diários'!$B$5:$B$504,B915)&gt;0,"OK","FALTA LANÇAMENTO"))</f>
        <v/>
      </c>
    </row>
    <row r="916">
      <c r="A916" s="14" t="n"/>
      <c r="B916" s="7" t="n"/>
      <c r="C916" s="15" t="n"/>
      <c r="D916" s="15" t="n"/>
      <c r="E916" s="7" t="n"/>
      <c r="F916" s="12">
        <f>IF(OR(C916="",D916=""),"",ROUND(MOD(D916-C916,1)*24,2))</f>
        <v/>
      </c>
      <c r="G916" s="7" t="n"/>
      <c r="H916" s="17">
        <f>IF(OR(A916="",B916=""),"",IF(COUNTIFS('Lançamentos Diários'!$A$5:$A$504,A916,'Lançamentos Diários'!$B$5:$B$504,B916)&gt;0,"OK","FALTA LANÇAMENTO"))</f>
        <v/>
      </c>
    </row>
    <row r="917">
      <c r="A917" s="14" t="n"/>
      <c r="B917" s="7" t="n"/>
      <c r="C917" s="15" t="n"/>
      <c r="D917" s="15" t="n"/>
      <c r="E917" s="7" t="n"/>
      <c r="F917" s="12">
        <f>IF(OR(C917="",D917=""),"",ROUND(MOD(D917-C917,1)*24,2))</f>
        <v/>
      </c>
      <c r="G917" s="7" t="n"/>
      <c r="H917" s="17">
        <f>IF(OR(A917="",B917=""),"",IF(COUNTIFS('Lançamentos Diários'!$A$5:$A$504,A917,'Lançamentos Diários'!$B$5:$B$504,B917)&gt;0,"OK","FALTA LANÇAMENTO"))</f>
        <v/>
      </c>
    </row>
    <row r="918">
      <c r="A918" s="14" t="n"/>
      <c r="B918" s="7" t="n"/>
      <c r="C918" s="15" t="n"/>
      <c r="D918" s="15" t="n"/>
      <c r="E918" s="7" t="n"/>
      <c r="F918" s="12">
        <f>IF(OR(C918="",D918=""),"",ROUND(MOD(D918-C918,1)*24,2))</f>
        <v/>
      </c>
      <c r="G918" s="7" t="n"/>
      <c r="H918" s="17">
        <f>IF(OR(A918="",B918=""),"",IF(COUNTIFS('Lançamentos Diários'!$A$5:$A$504,A918,'Lançamentos Diários'!$B$5:$B$504,B918)&gt;0,"OK","FALTA LANÇAMENTO"))</f>
        <v/>
      </c>
    </row>
    <row r="919">
      <c r="A919" s="14" t="n"/>
      <c r="B919" s="7" t="n"/>
      <c r="C919" s="15" t="n"/>
      <c r="D919" s="15" t="n"/>
      <c r="E919" s="7" t="n"/>
      <c r="F919" s="12">
        <f>IF(OR(C919="",D919=""),"",ROUND(MOD(D919-C919,1)*24,2))</f>
        <v/>
      </c>
      <c r="G919" s="7" t="n"/>
      <c r="H919" s="17">
        <f>IF(OR(A919="",B919=""),"",IF(COUNTIFS('Lançamentos Diários'!$A$5:$A$504,A919,'Lançamentos Diários'!$B$5:$B$504,B919)&gt;0,"OK","FALTA LANÇAMENTO"))</f>
        <v/>
      </c>
    </row>
    <row r="920">
      <c r="A920" s="14" t="n"/>
      <c r="B920" s="7" t="n"/>
      <c r="C920" s="15" t="n"/>
      <c r="D920" s="15" t="n"/>
      <c r="E920" s="7" t="n"/>
      <c r="F920" s="12">
        <f>IF(OR(C920="",D920=""),"",ROUND(MOD(D920-C920,1)*24,2))</f>
        <v/>
      </c>
      <c r="G920" s="7" t="n"/>
      <c r="H920" s="17">
        <f>IF(OR(A920="",B920=""),"",IF(COUNTIFS('Lançamentos Diários'!$A$5:$A$504,A920,'Lançamentos Diários'!$B$5:$B$504,B920)&gt;0,"OK","FALTA LANÇAMENTO"))</f>
        <v/>
      </c>
    </row>
    <row r="921">
      <c r="A921" s="14" t="n"/>
      <c r="B921" s="7" t="n"/>
      <c r="C921" s="15" t="n"/>
      <c r="D921" s="15" t="n"/>
      <c r="E921" s="7" t="n"/>
      <c r="F921" s="12">
        <f>IF(OR(C921="",D921=""),"",ROUND(MOD(D921-C921,1)*24,2))</f>
        <v/>
      </c>
      <c r="G921" s="7" t="n"/>
      <c r="H921" s="17">
        <f>IF(OR(A921="",B921=""),"",IF(COUNTIFS('Lançamentos Diários'!$A$5:$A$504,A921,'Lançamentos Diários'!$B$5:$B$504,B921)&gt;0,"OK","FALTA LANÇAMENTO"))</f>
        <v/>
      </c>
    </row>
    <row r="922">
      <c r="A922" s="14" t="n"/>
      <c r="B922" s="7" t="n"/>
      <c r="C922" s="15" t="n"/>
      <c r="D922" s="15" t="n"/>
      <c r="E922" s="7" t="n"/>
      <c r="F922" s="12">
        <f>IF(OR(C922="",D922=""),"",ROUND(MOD(D922-C922,1)*24,2))</f>
        <v/>
      </c>
      <c r="G922" s="7" t="n"/>
      <c r="H922" s="17">
        <f>IF(OR(A922="",B922=""),"",IF(COUNTIFS('Lançamentos Diários'!$A$5:$A$504,A922,'Lançamentos Diários'!$B$5:$B$504,B922)&gt;0,"OK","FALTA LANÇAMENTO"))</f>
        <v/>
      </c>
    </row>
    <row r="923">
      <c r="A923" s="14" t="n"/>
      <c r="B923" s="7" t="n"/>
      <c r="C923" s="15" t="n"/>
      <c r="D923" s="15" t="n"/>
      <c r="E923" s="7" t="n"/>
      <c r="F923" s="12">
        <f>IF(OR(C923="",D923=""),"",ROUND(MOD(D923-C923,1)*24,2))</f>
        <v/>
      </c>
      <c r="G923" s="7" t="n"/>
      <c r="H923" s="17">
        <f>IF(OR(A923="",B923=""),"",IF(COUNTIFS('Lançamentos Diários'!$A$5:$A$504,A923,'Lançamentos Diários'!$B$5:$B$504,B923)&gt;0,"OK","FALTA LANÇAMENTO"))</f>
        <v/>
      </c>
    </row>
    <row r="924">
      <c r="A924" s="14" t="n"/>
      <c r="B924" s="7" t="n"/>
      <c r="C924" s="15" t="n"/>
      <c r="D924" s="15" t="n"/>
      <c r="E924" s="7" t="n"/>
      <c r="F924" s="12">
        <f>IF(OR(C924="",D924=""),"",ROUND(MOD(D924-C924,1)*24,2))</f>
        <v/>
      </c>
      <c r="G924" s="7" t="n"/>
      <c r="H924" s="17">
        <f>IF(OR(A924="",B924=""),"",IF(COUNTIFS('Lançamentos Diários'!$A$5:$A$504,A924,'Lançamentos Diários'!$B$5:$B$504,B924)&gt;0,"OK","FALTA LANÇAMENTO"))</f>
        <v/>
      </c>
    </row>
    <row r="925">
      <c r="A925" s="14" t="n"/>
      <c r="B925" s="7" t="n"/>
      <c r="C925" s="15" t="n"/>
      <c r="D925" s="15" t="n"/>
      <c r="E925" s="7" t="n"/>
      <c r="F925" s="12">
        <f>IF(OR(C925="",D925=""),"",ROUND(MOD(D925-C925,1)*24,2))</f>
        <v/>
      </c>
      <c r="G925" s="7" t="n"/>
      <c r="H925" s="17">
        <f>IF(OR(A925="",B925=""),"",IF(COUNTIFS('Lançamentos Diários'!$A$5:$A$504,A925,'Lançamentos Diários'!$B$5:$B$504,B925)&gt;0,"OK","FALTA LANÇAMENTO"))</f>
        <v/>
      </c>
    </row>
    <row r="926">
      <c r="A926" s="14" t="n"/>
      <c r="B926" s="7" t="n"/>
      <c r="C926" s="15" t="n"/>
      <c r="D926" s="15" t="n"/>
      <c r="E926" s="7" t="n"/>
      <c r="F926" s="12">
        <f>IF(OR(C926="",D926=""),"",ROUND(MOD(D926-C926,1)*24,2))</f>
        <v/>
      </c>
      <c r="G926" s="7" t="n"/>
      <c r="H926" s="17">
        <f>IF(OR(A926="",B926=""),"",IF(COUNTIFS('Lançamentos Diários'!$A$5:$A$504,A926,'Lançamentos Diários'!$B$5:$B$504,B926)&gt;0,"OK","FALTA LANÇAMENTO"))</f>
        <v/>
      </c>
    </row>
    <row r="927">
      <c r="A927" s="14" t="n"/>
      <c r="B927" s="7" t="n"/>
      <c r="C927" s="15" t="n"/>
      <c r="D927" s="15" t="n"/>
      <c r="E927" s="7" t="n"/>
      <c r="F927" s="12">
        <f>IF(OR(C927="",D927=""),"",ROUND(MOD(D927-C927,1)*24,2))</f>
        <v/>
      </c>
      <c r="G927" s="7" t="n"/>
      <c r="H927" s="17">
        <f>IF(OR(A927="",B927=""),"",IF(COUNTIFS('Lançamentos Diários'!$A$5:$A$504,A927,'Lançamentos Diários'!$B$5:$B$504,B927)&gt;0,"OK","FALTA LANÇAMENTO"))</f>
        <v/>
      </c>
    </row>
    <row r="928">
      <c r="A928" s="14" t="n"/>
      <c r="B928" s="7" t="n"/>
      <c r="C928" s="15" t="n"/>
      <c r="D928" s="15" t="n"/>
      <c r="E928" s="7" t="n"/>
      <c r="F928" s="12">
        <f>IF(OR(C928="",D928=""),"",ROUND(MOD(D928-C928,1)*24,2))</f>
        <v/>
      </c>
      <c r="G928" s="7" t="n"/>
      <c r="H928" s="17">
        <f>IF(OR(A928="",B928=""),"",IF(COUNTIFS('Lançamentos Diários'!$A$5:$A$504,A928,'Lançamentos Diários'!$B$5:$B$504,B928)&gt;0,"OK","FALTA LANÇAMENTO"))</f>
        <v/>
      </c>
    </row>
    <row r="929">
      <c r="A929" s="14" t="n"/>
      <c r="B929" s="7" t="n"/>
      <c r="C929" s="15" t="n"/>
      <c r="D929" s="15" t="n"/>
      <c r="E929" s="7" t="n"/>
      <c r="F929" s="12">
        <f>IF(OR(C929="",D929=""),"",ROUND(MOD(D929-C929,1)*24,2))</f>
        <v/>
      </c>
      <c r="G929" s="7" t="n"/>
      <c r="H929" s="17">
        <f>IF(OR(A929="",B929=""),"",IF(COUNTIFS('Lançamentos Diários'!$A$5:$A$504,A929,'Lançamentos Diários'!$B$5:$B$504,B929)&gt;0,"OK","FALTA LANÇAMENTO"))</f>
        <v/>
      </c>
    </row>
    <row r="930">
      <c r="A930" s="14" t="n"/>
      <c r="B930" s="7" t="n"/>
      <c r="C930" s="15" t="n"/>
      <c r="D930" s="15" t="n"/>
      <c r="E930" s="7" t="n"/>
      <c r="F930" s="12">
        <f>IF(OR(C930="",D930=""),"",ROUND(MOD(D930-C930,1)*24,2))</f>
        <v/>
      </c>
      <c r="G930" s="7" t="n"/>
      <c r="H930" s="17">
        <f>IF(OR(A930="",B930=""),"",IF(COUNTIFS('Lançamentos Diários'!$A$5:$A$504,A930,'Lançamentos Diários'!$B$5:$B$504,B930)&gt;0,"OK","FALTA LANÇAMENTO"))</f>
        <v/>
      </c>
    </row>
    <row r="931">
      <c r="A931" s="14" t="n"/>
      <c r="B931" s="7" t="n"/>
      <c r="C931" s="15" t="n"/>
      <c r="D931" s="15" t="n"/>
      <c r="E931" s="7" t="n"/>
      <c r="F931" s="12">
        <f>IF(OR(C931="",D931=""),"",ROUND(MOD(D931-C931,1)*24,2))</f>
        <v/>
      </c>
      <c r="G931" s="7" t="n"/>
      <c r="H931" s="17">
        <f>IF(OR(A931="",B931=""),"",IF(COUNTIFS('Lançamentos Diários'!$A$5:$A$504,A931,'Lançamentos Diários'!$B$5:$B$504,B931)&gt;0,"OK","FALTA LANÇAMENTO"))</f>
        <v/>
      </c>
    </row>
    <row r="932">
      <c r="A932" s="14" t="n"/>
      <c r="B932" s="7" t="n"/>
      <c r="C932" s="15" t="n"/>
      <c r="D932" s="15" t="n"/>
      <c r="E932" s="7" t="n"/>
      <c r="F932" s="12">
        <f>IF(OR(C932="",D932=""),"",ROUND(MOD(D932-C932,1)*24,2))</f>
        <v/>
      </c>
      <c r="G932" s="7" t="n"/>
      <c r="H932" s="17">
        <f>IF(OR(A932="",B932=""),"",IF(COUNTIFS('Lançamentos Diários'!$A$5:$A$504,A932,'Lançamentos Diários'!$B$5:$B$504,B932)&gt;0,"OK","FALTA LANÇAMENTO"))</f>
        <v/>
      </c>
    </row>
    <row r="933">
      <c r="A933" s="14" t="n"/>
      <c r="B933" s="7" t="n"/>
      <c r="C933" s="15" t="n"/>
      <c r="D933" s="15" t="n"/>
      <c r="E933" s="7" t="n"/>
      <c r="F933" s="12">
        <f>IF(OR(C933="",D933=""),"",ROUND(MOD(D933-C933,1)*24,2))</f>
        <v/>
      </c>
      <c r="G933" s="7" t="n"/>
      <c r="H933" s="17">
        <f>IF(OR(A933="",B933=""),"",IF(COUNTIFS('Lançamentos Diários'!$A$5:$A$504,A933,'Lançamentos Diários'!$B$5:$B$504,B933)&gt;0,"OK","FALTA LANÇAMENTO"))</f>
        <v/>
      </c>
    </row>
    <row r="934">
      <c r="A934" s="14" t="n"/>
      <c r="B934" s="7" t="n"/>
      <c r="C934" s="15" t="n"/>
      <c r="D934" s="15" t="n"/>
      <c r="E934" s="7" t="n"/>
      <c r="F934" s="12">
        <f>IF(OR(C934="",D934=""),"",ROUND(MOD(D934-C934,1)*24,2))</f>
        <v/>
      </c>
      <c r="G934" s="7" t="n"/>
      <c r="H934" s="17">
        <f>IF(OR(A934="",B934=""),"",IF(COUNTIFS('Lançamentos Diários'!$A$5:$A$504,A934,'Lançamentos Diários'!$B$5:$B$504,B934)&gt;0,"OK","FALTA LANÇAMENTO"))</f>
        <v/>
      </c>
    </row>
    <row r="935">
      <c r="A935" s="14" t="n"/>
      <c r="B935" s="7" t="n"/>
      <c r="C935" s="15" t="n"/>
      <c r="D935" s="15" t="n"/>
      <c r="E935" s="7" t="n"/>
      <c r="F935" s="12">
        <f>IF(OR(C935="",D935=""),"",ROUND(MOD(D935-C935,1)*24,2))</f>
        <v/>
      </c>
      <c r="G935" s="7" t="n"/>
      <c r="H935" s="17">
        <f>IF(OR(A935="",B935=""),"",IF(COUNTIFS('Lançamentos Diários'!$A$5:$A$504,A935,'Lançamentos Diários'!$B$5:$B$504,B935)&gt;0,"OK","FALTA LANÇAMENTO"))</f>
        <v/>
      </c>
    </row>
    <row r="936">
      <c r="A936" s="14" t="n"/>
      <c r="B936" s="7" t="n"/>
      <c r="C936" s="15" t="n"/>
      <c r="D936" s="15" t="n"/>
      <c r="E936" s="7" t="n"/>
      <c r="F936" s="12">
        <f>IF(OR(C936="",D936=""),"",ROUND(MOD(D936-C936,1)*24,2))</f>
        <v/>
      </c>
      <c r="G936" s="7" t="n"/>
      <c r="H936" s="17">
        <f>IF(OR(A936="",B936=""),"",IF(COUNTIFS('Lançamentos Diários'!$A$5:$A$504,A936,'Lançamentos Diários'!$B$5:$B$504,B936)&gt;0,"OK","FALTA LANÇAMENTO"))</f>
        <v/>
      </c>
    </row>
    <row r="937">
      <c r="A937" s="14" t="n"/>
      <c r="B937" s="7" t="n"/>
      <c r="C937" s="15" t="n"/>
      <c r="D937" s="15" t="n"/>
      <c r="E937" s="7" t="n"/>
      <c r="F937" s="12">
        <f>IF(OR(C937="",D937=""),"",ROUND(MOD(D937-C937,1)*24,2))</f>
        <v/>
      </c>
      <c r="G937" s="7" t="n"/>
      <c r="H937" s="17">
        <f>IF(OR(A937="",B937=""),"",IF(COUNTIFS('Lançamentos Diários'!$A$5:$A$504,A937,'Lançamentos Diários'!$B$5:$B$504,B937)&gt;0,"OK","FALTA LANÇAMENTO"))</f>
        <v/>
      </c>
    </row>
    <row r="938">
      <c r="A938" s="14" t="n"/>
      <c r="B938" s="7" t="n"/>
      <c r="C938" s="15" t="n"/>
      <c r="D938" s="15" t="n"/>
      <c r="E938" s="7" t="n"/>
      <c r="F938" s="12">
        <f>IF(OR(C938="",D938=""),"",ROUND(MOD(D938-C938,1)*24,2))</f>
        <v/>
      </c>
      <c r="G938" s="7" t="n"/>
      <c r="H938" s="17">
        <f>IF(OR(A938="",B938=""),"",IF(COUNTIFS('Lançamentos Diários'!$A$5:$A$504,A938,'Lançamentos Diários'!$B$5:$B$504,B938)&gt;0,"OK","FALTA LANÇAMENTO"))</f>
        <v/>
      </c>
    </row>
    <row r="939">
      <c r="A939" s="14" t="n"/>
      <c r="B939" s="7" t="n"/>
      <c r="C939" s="15" t="n"/>
      <c r="D939" s="15" t="n"/>
      <c r="E939" s="7" t="n"/>
      <c r="F939" s="12">
        <f>IF(OR(C939="",D939=""),"",ROUND(MOD(D939-C939,1)*24,2))</f>
        <v/>
      </c>
      <c r="G939" s="7" t="n"/>
      <c r="H939" s="17">
        <f>IF(OR(A939="",B939=""),"",IF(COUNTIFS('Lançamentos Diários'!$A$5:$A$504,A939,'Lançamentos Diários'!$B$5:$B$504,B939)&gt;0,"OK","FALTA LANÇAMENTO"))</f>
        <v/>
      </c>
    </row>
    <row r="940">
      <c r="A940" s="14" t="n"/>
      <c r="B940" s="7" t="n"/>
      <c r="C940" s="15" t="n"/>
      <c r="D940" s="15" t="n"/>
      <c r="E940" s="7" t="n"/>
      <c r="F940" s="12">
        <f>IF(OR(C940="",D940=""),"",ROUND(MOD(D940-C940,1)*24,2))</f>
        <v/>
      </c>
      <c r="G940" s="7" t="n"/>
      <c r="H940" s="17">
        <f>IF(OR(A940="",B940=""),"",IF(COUNTIFS('Lançamentos Diários'!$A$5:$A$504,A940,'Lançamentos Diários'!$B$5:$B$504,B940)&gt;0,"OK","FALTA LANÇAMENTO"))</f>
        <v/>
      </c>
    </row>
    <row r="941">
      <c r="A941" s="14" t="n"/>
      <c r="B941" s="7" t="n"/>
      <c r="C941" s="15" t="n"/>
      <c r="D941" s="15" t="n"/>
      <c r="E941" s="7" t="n"/>
      <c r="F941" s="12">
        <f>IF(OR(C941="",D941=""),"",ROUND(MOD(D941-C941,1)*24,2))</f>
        <v/>
      </c>
      <c r="G941" s="7" t="n"/>
      <c r="H941" s="17">
        <f>IF(OR(A941="",B941=""),"",IF(COUNTIFS('Lançamentos Diários'!$A$5:$A$504,A941,'Lançamentos Diários'!$B$5:$B$504,B941)&gt;0,"OK","FALTA LANÇAMENTO"))</f>
        <v/>
      </c>
    </row>
    <row r="942">
      <c r="A942" s="14" t="n"/>
      <c r="B942" s="7" t="n"/>
      <c r="C942" s="15" t="n"/>
      <c r="D942" s="15" t="n"/>
      <c r="E942" s="7" t="n"/>
      <c r="F942" s="12">
        <f>IF(OR(C942="",D942=""),"",ROUND(MOD(D942-C942,1)*24,2))</f>
        <v/>
      </c>
      <c r="G942" s="7" t="n"/>
      <c r="H942" s="17">
        <f>IF(OR(A942="",B942=""),"",IF(COUNTIFS('Lançamentos Diários'!$A$5:$A$504,A942,'Lançamentos Diários'!$B$5:$B$504,B942)&gt;0,"OK","FALTA LANÇAMENTO"))</f>
        <v/>
      </c>
    </row>
    <row r="943">
      <c r="A943" s="14" t="n"/>
      <c r="B943" s="7" t="n"/>
      <c r="C943" s="15" t="n"/>
      <c r="D943" s="15" t="n"/>
      <c r="E943" s="7" t="n"/>
      <c r="F943" s="12">
        <f>IF(OR(C943="",D943=""),"",ROUND(MOD(D943-C943,1)*24,2))</f>
        <v/>
      </c>
      <c r="G943" s="7" t="n"/>
      <c r="H943" s="17">
        <f>IF(OR(A943="",B943=""),"",IF(COUNTIFS('Lançamentos Diários'!$A$5:$A$504,A943,'Lançamentos Diários'!$B$5:$B$504,B943)&gt;0,"OK","FALTA LANÇAMENTO"))</f>
        <v/>
      </c>
    </row>
    <row r="944">
      <c r="A944" s="14" t="n"/>
      <c r="B944" s="7" t="n"/>
      <c r="C944" s="15" t="n"/>
      <c r="D944" s="15" t="n"/>
      <c r="E944" s="7" t="n"/>
      <c r="F944" s="12">
        <f>IF(OR(C944="",D944=""),"",ROUND(MOD(D944-C944,1)*24,2))</f>
        <v/>
      </c>
      <c r="G944" s="7" t="n"/>
      <c r="H944" s="17">
        <f>IF(OR(A944="",B944=""),"",IF(COUNTIFS('Lançamentos Diários'!$A$5:$A$504,A944,'Lançamentos Diários'!$B$5:$B$504,B944)&gt;0,"OK","FALTA LANÇAMENTO"))</f>
        <v/>
      </c>
    </row>
    <row r="945">
      <c r="A945" s="14" t="n"/>
      <c r="B945" s="7" t="n"/>
      <c r="C945" s="15" t="n"/>
      <c r="D945" s="15" t="n"/>
      <c r="E945" s="7" t="n"/>
      <c r="F945" s="12">
        <f>IF(OR(C945="",D945=""),"",ROUND(MOD(D945-C945,1)*24,2))</f>
        <v/>
      </c>
      <c r="G945" s="7" t="n"/>
      <c r="H945" s="17">
        <f>IF(OR(A945="",B945=""),"",IF(COUNTIFS('Lançamentos Diários'!$A$5:$A$504,A945,'Lançamentos Diários'!$B$5:$B$504,B945)&gt;0,"OK","FALTA LANÇAMENTO"))</f>
        <v/>
      </c>
    </row>
    <row r="946">
      <c r="A946" s="14" t="n"/>
      <c r="B946" s="7" t="n"/>
      <c r="C946" s="15" t="n"/>
      <c r="D946" s="15" t="n"/>
      <c r="E946" s="7" t="n"/>
      <c r="F946" s="12">
        <f>IF(OR(C946="",D946=""),"",ROUND(MOD(D946-C946,1)*24,2))</f>
        <v/>
      </c>
      <c r="G946" s="7" t="n"/>
      <c r="H946" s="17">
        <f>IF(OR(A946="",B946=""),"",IF(COUNTIFS('Lançamentos Diários'!$A$5:$A$504,A946,'Lançamentos Diários'!$B$5:$B$504,B946)&gt;0,"OK","FALTA LANÇAMENTO"))</f>
        <v/>
      </c>
    </row>
    <row r="947">
      <c r="A947" s="14" t="n"/>
      <c r="B947" s="7" t="n"/>
      <c r="C947" s="15" t="n"/>
      <c r="D947" s="15" t="n"/>
      <c r="E947" s="7" t="n"/>
      <c r="F947" s="12">
        <f>IF(OR(C947="",D947=""),"",ROUND(MOD(D947-C947,1)*24,2))</f>
        <v/>
      </c>
      <c r="G947" s="7" t="n"/>
      <c r="H947" s="17">
        <f>IF(OR(A947="",B947=""),"",IF(COUNTIFS('Lançamentos Diários'!$A$5:$A$504,A947,'Lançamentos Diários'!$B$5:$B$504,B947)&gt;0,"OK","FALTA LANÇAMENTO"))</f>
        <v/>
      </c>
    </row>
    <row r="948">
      <c r="A948" s="14" t="n"/>
      <c r="B948" s="7" t="n"/>
      <c r="C948" s="15" t="n"/>
      <c r="D948" s="15" t="n"/>
      <c r="E948" s="7" t="n"/>
      <c r="F948" s="12">
        <f>IF(OR(C948="",D948=""),"",ROUND(MOD(D948-C948,1)*24,2))</f>
        <v/>
      </c>
      <c r="G948" s="7" t="n"/>
      <c r="H948" s="17">
        <f>IF(OR(A948="",B948=""),"",IF(COUNTIFS('Lançamentos Diários'!$A$5:$A$504,A948,'Lançamentos Diários'!$B$5:$B$504,B948)&gt;0,"OK","FALTA LANÇAMENTO"))</f>
        <v/>
      </c>
    </row>
    <row r="949">
      <c r="A949" s="14" t="n"/>
      <c r="B949" s="7" t="n"/>
      <c r="C949" s="15" t="n"/>
      <c r="D949" s="15" t="n"/>
      <c r="E949" s="7" t="n"/>
      <c r="F949" s="12">
        <f>IF(OR(C949="",D949=""),"",ROUND(MOD(D949-C949,1)*24,2))</f>
        <v/>
      </c>
      <c r="G949" s="7" t="n"/>
      <c r="H949" s="17">
        <f>IF(OR(A949="",B949=""),"",IF(COUNTIFS('Lançamentos Diários'!$A$5:$A$504,A949,'Lançamentos Diários'!$B$5:$B$504,B949)&gt;0,"OK","FALTA LANÇAMENTO"))</f>
        <v/>
      </c>
    </row>
    <row r="950">
      <c r="A950" s="14" t="n"/>
      <c r="B950" s="7" t="n"/>
      <c r="C950" s="15" t="n"/>
      <c r="D950" s="15" t="n"/>
      <c r="E950" s="7" t="n"/>
      <c r="F950" s="12">
        <f>IF(OR(C950="",D950=""),"",ROUND(MOD(D950-C950,1)*24,2))</f>
        <v/>
      </c>
      <c r="G950" s="7" t="n"/>
      <c r="H950" s="17">
        <f>IF(OR(A950="",B950=""),"",IF(COUNTIFS('Lançamentos Diários'!$A$5:$A$504,A950,'Lançamentos Diários'!$B$5:$B$504,B950)&gt;0,"OK","FALTA LANÇAMENTO"))</f>
        <v/>
      </c>
    </row>
    <row r="951">
      <c r="A951" s="14" t="n"/>
      <c r="B951" s="7" t="n"/>
      <c r="C951" s="15" t="n"/>
      <c r="D951" s="15" t="n"/>
      <c r="E951" s="7" t="n"/>
      <c r="F951" s="12">
        <f>IF(OR(C951="",D951=""),"",ROUND(MOD(D951-C951,1)*24,2))</f>
        <v/>
      </c>
      <c r="G951" s="7" t="n"/>
      <c r="H951" s="17">
        <f>IF(OR(A951="",B951=""),"",IF(COUNTIFS('Lançamentos Diários'!$A$5:$A$504,A951,'Lançamentos Diários'!$B$5:$B$504,B951)&gt;0,"OK","FALTA LANÇAMENTO"))</f>
        <v/>
      </c>
    </row>
    <row r="952">
      <c r="A952" s="14" t="n"/>
      <c r="B952" s="7" t="n"/>
      <c r="C952" s="15" t="n"/>
      <c r="D952" s="15" t="n"/>
      <c r="E952" s="7" t="n"/>
      <c r="F952" s="12">
        <f>IF(OR(C952="",D952=""),"",ROUND(MOD(D952-C952,1)*24,2))</f>
        <v/>
      </c>
      <c r="G952" s="7" t="n"/>
      <c r="H952" s="17">
        <f>IF(OR(A952="",B952=""),"",IF(COUNTIFS('Lançamentos Diários'!$A$5:$A$504,A952,'Lançamentos Diários'!$B$5:$B$504,B952)&gt;0,"OK","FALTA LANÇAMENTO"))</f>
        <v/>
      </c>
    </row>
    <row r="953">
      <c r="A953" s="14" t="n"/>
      <c r="B953" s="7" t="n"/>
      <c r="C953" s="15" t="n"/>
      <c r="D953" s="15" t="n"/>
      <c r="E953" s="7" t="n"/>
      <c r="F953" s="12">
        <f>IF(OR(C953="",D953=""),"",ROUND(MOD(D953-C953,1)*24,2))</f>
        <v/>
      </c>
      <c r="G953" s="7" t="n"/>
      <c r="H953" s="17">
        <f>IF(OR(A953="",B953=""),"",IF(COUNTIFS('Lançamentos Diários'!$A$5:$A$504,A953,'Lançamentos Diários'!$B$5:$B$504,B953)&gt;0,"OK","FALTA LANÇAMENTO"))</f>
        <v/>
      </c>
    </row>
    <row r="954">
      <c r="A954" s="14" t="n"/>
      <c r="B954" s="7" t="n"/>
      <c r="C954" s="15" t="n"/>
      <c r="D954" s="15" t="n"/>
      <c r="E954" s="7" t="n"/>
      <c r="F954" s="12">
        <f>IF(OR(C954="",D954=""),"",ROUND(MOD(D954-C954,1)*24,2))</f>
        <v/>
      </c>
      <c r="G954" s="7" t="n"/>
      <c r="H954" s="17">
        <f>IF(OR(A954="",B954=""),"",IF(COUNTIFS('Lançamentos Diários'!$A$5:$A$504,A954,'Lançamentos Diários'!$B$5:$B$504,B954)&gt;0,"OK","FALTA LANÇAMENTO"))</f>
        <v/>
      </c>
    </row>
    <row r="955">
      <c r="A955" s="14" t="n"/>
      <c r="B955" s="7" t="n"/>
      <c r="C955" s="15" t="n"/>
      <c r="D955" s="15" t="n"/>
      <c r="E955" s="7" t="n"/>
      <c r="F955" s="12">
        <f>IF(OR(C955="",D955=""),"",ROUND(MOD(D955-C955,1)*24,2))</f>
        <v/>
      </c>
      <c r="G955" s="7" t="n"/>
      <c r="H955" s="17">
        <f>IF(OR(A955="",B955=""),"",IF(COUNTIFS('Lançamentos Diários'!$A$5:$A$504,A955,'Lançamentos Diários'!$B$5:$B$504,B955)&gt;0,"OK","FALTA LANÇAMENTO"))</f>
        <v/>
      </c>
    </row>
    <row r="956">
      <c r="A956" s="14" t="n"/>
      <c r="B956" s="7" t="n"/>
      <c r="C956" s="15" t="n"/>
      <c r="D956" s="15" t="n"/>
      <c r="E956" s="7" t="n"/>
      <c r="F956" s="12">
        <f>IF(OR(C956="",D956=""),"",ROUND(MOD(D956-C956,1)*24,2))</f>
        <v/>
      </c>
      <c r="G956" s="7" t="n"/>
      <c r="H956" s="17">
        <f>IF(OR(A956="",B956=""),"",IF(COUNTIFS('Lançamentos Diários'!$A$5:$A$504,A956,'Lançamentos Diários'!$B$5:$B$504,B956)&gt;0,"OK","FALTA LANÇAMENTO"))</f>
        <v/>
      </c>
    </row>
    <row r="957">
      <c r="A957" s="14" t="n"/>
      <c r="B957" s="7" t="n"/>
      <c r="C957" s="15" t="n"/>
      <c r="D957" s="15" t="n"/>
      <c r="E957" s="7" t="n"/>
      <c r="F957" s="12">
        <f>IF(OR(C957="",D957=""),"",ROUND(MOD(D957-C957,1)*24,2))</f>
        <v/>
      </c>
      <c r="G957" s="7" t="n"/>
      <c r="H957" s="17">
        <f>IF(OR(A957="",B957=""),"",IF(COUNTIFS('Lançamentos Diários'!$A$5:$A$504,A957,'Lançamentos Diários'!$B$5:$B$504,B957)&gt;0,"OK","FALTA LANÇAMENTO"))</f>
        <v/>
      </c>
    </row>
    <row r="958">
      <c r="A958" s="14" t="n"/>
      <c r="B958" s="7" t="n"/>
      <c r="C958" s="15" t="n"/>
      <c r="D958" s="15" t="n"/>
      <c r="E958" s="7" t="n"/>
      <c r="F958" s="12">
        <f>IF(OR(C958="",D958=""),"",ROUND(MOD(D958-C958,1)*24,2))</f>
        <v/>
      </c>
      <c r="G958" s="7" t="n"/>
      <c r="H958" s="17">
        <f>IF(OR(A958="",B958=""),"",IF(COUNTIFS('Lançamentos Diários'!$A$5:$A$504,A958,'Lançamentos Diários'!$B$5:$B$504,B958)&gt;0,"OK","FALTA LANÇAMENTO"))</f>
        <v/>
      </c>
    </row>
    <row r="959">
      <c r="A959" s="14" t="n"/>
      <c r="B959" s="7" t="n"/>
      <c r="C959" s="15" t="n"/>
      <c r="D959" s="15" t="n"/>
      <c r="E959" s="7" t="n"/>
      <c r="F959" s="12">
        <f>IF(OR(C959="",D959=""),"",ROUND(MOD(D959-C959,1)*24,2))</f>
        <v/>
      </c>
      <c r="G959" s="7" t="n"/>
      <c r="H959" s="17">
        <f>IF(OR(A959="",B959=""),"",IF(COUNTIFS('Lançamentos Diários'!$A$5:$A$504,A959,'Lançamentos Diários'!$B$5:$B$504,B959)&gt;0,"OK","FALTA LANÇAMENTO"))</f>
        <v/>
      </c>
    </row>
    <row r="960">
      <c r="A960" s="14" t="n"/>
      <c r="B960" s="7" t="n"/>
      <c r="C960" s="15" t="n"/>
      <c r="D960" s="15" t="n"/>
      <c r="E960" s="7" t="n"/>
      <c r="F960" s="12">
        <f>IF(OR(C960="",D960=""),"",ROUND(MOD(D960-C960,1)*24,2))</f>
        <v/>
      </c>
      <c r="G960" s="7" t="n"/>
      <c r="H960" s="17">
        <f>IF(OR(A960="",B960=""),"",IF(COUNTIFS('Lançamentos Diários'!$A$5:$A$504,A960,'Lançamentos Diários'!$B$5:$B$504,B960)&gt;0,"OK","FALTA LANÇAMENTO"))</f>
        <v/>
      </c>
    </row>
    <row r="961">
      <c r="A961" s="14" t="n"/>
      <c r="B961" s="7" t="n"/>
      <c r="C961" s="15" t="n"/>
      <c r="D961" s="15" t="n"/>
      <c r="E961" s="7" t="n"/>
      <c r="F961" s="12">
        <f>IF(OR(C961="",D961=""),"",ROUND(MOD(D961-C961,1)*24,2))</f>
        <v/>
      </c>
      <c r="G961" s="7" t="n"/>
      <c r="H961" s="17">
        <f>IF(OR(A961="",B961=""),"",IF(COUNTIFS('Lançamentos Diários'!$A$5:$A$504,A961,'Lançamentos Diários'!$B$5:$B$504,B961)&gt;0,"OK","FALTA LANÇAMENTO"))</f>
        <v/>
      </c>
    </row>
    <row r="962">
      <c r="A962" s="14" t="n"/>
      <c r="B962" s="7" t="n"/>
      <c r="C962" s="15" t="n"/>
      <c r="D962" s="15" t="n"/>
      <c r="E962" s="7" t="n"/>
      <c r="F962" s="12">
        <f>IF(OR(C962="",D962=""),"",ROUND(MOD(D962-C962,1)*24,2))</f>
        <v/>
      </c>
      <c r="G962" s="7" t="n"/>
      <c r="H962" s="17">
        <f>IF(OR(A962="",B962=""),"",IF(COUNTIFS('Lançamentos Diários'!$A$5:$A$504,A962,'Lançamentos Diários'!$B$5:$B$504,B962)&gt;0,"OK","FALTA LANÇAMENTO"))</f>
        <v/>
      </c>
    </row>
    <row r="963">
      <c r="A963" s="14" t="n"/>
      <c r="B963" s="7" t="n"/>
      <c r="C963" s="15" t="n"/>
      <c r="D963" s="15" t="n"/>
      <c r="E963" s="7" t="n"/>
      <c r="F963" s="12">
        <f>IF(OR(C963="",D963=""),"",ROUND(MOD(D963-C963,1)*24,2))</f>
        <v/>
      </c>
      <c r="G963" s="7" t="n"/>
      <c r="H963" s="17">
        <f>IF(OR(A963="",B963=""),"",IF(COUNTIFS('Lançamentos Diários'!$A$5:$A$504,A963,'Lançamentos Diários'!$B$5:$B$504,B963)&gt;0,"OK","FALTA LANÇAMENTO"))</f>
        <v/>
      </c>
    </row>
    <row r="964">
      <c r="A964" s="14" t="n"/>
      <c r="B964" s="7" t="n"/>
      <c r="C964" s="15" t="n"/>
      <c r="D964" s="15" t="n"/>
      <c r="E964" s="7" t="n"/>
      <c r="F964" s="12">
        <f>IF(OR(C964="",D964=""),"",ROUND(MOD(D964-C964,1)*24,2))</f>
        <v/>
      </c>
      <c r="G964" s="7" t="n"/>
      <c r="H964" s="17">
        <f>IF(OR(A964="",B964=""),"",IF(COUNTIFS('Lançamentos Diários'!$A$5:$A$504,A964,'Lançamentos Diários'!$B$5:$B$504,B964)&gt;0,"OK","FALTA LANÇAMENTO"))</f>
        <v/>
      </c>
    </row>
    <row r="965">
      <c r="A965" s="14" t="n"/>
      <c r="B965" s="7" t="n"/>
      <c r="C965" s="15" t="n"/>
      <c r="D965" s="15" t="n"/>
      <c r="E965" s="7" t="n"/>
      <c r="F965" s="12">
        <f>IF(OR(C965="",D965=""),"",ROUND(MOD(D965-C965,1)*24,2))</f>
        <v/>
      </c>
      <c r="G965" s="7" t="n"/>
      <c r="H965" s="17">
        <f>IF(OR(A965="",B965=""),"",IF(COUNTIFS('Lançamentos Diários'!$A$5:$A$504,A965,'Lançamentos Diários'!$B$5:$B$504,B965)&gt;0,"OK","FALTA LANÇAMENTO"))</f>
        <v/>
      </c>
    </row>
    <row r="966">
      <c r="A966" s="14" t="n"/>
      <c r="B966" s="7" t="n"/>
      <c r="C966" s="15" t="n"/>
      <c r="D966" s="15" t="n"/>
      <c r="E966" s="7" t="n"/>
      <c r="F966" s="12">
        <f>IF(OR(C966="",D966=""),"",ROUND(MOD(D966-C966,1)*24,2))</f>
        <v/>
      </c>
      <c r="G966" s="7" t="n"/>
      <c r="H966" s="17">
        <f>IF(OR(A966="",B966=""),"",IF(COUNTIFS('Lançamentos Diários'!$A$5:$A$504,A966,'Lançamentos Diários'!$B$5:$B$504,B966)&gt;0,"OK","FALTA LANÇAMENTO"))</f>
        <v/>
      </c>
    </row>
    <row r="967">
      <c r="A967" s="14" t="n"/>
      <c r="B967" s="7" t="n"/>
      <c r="C967" s="15" t="n"/>
      <c r="D967" s="15" t="n"/>
      <c r="E967" s="7" t="n"/>
      <c r="F967" s="12">
        <f>IF(OR(C967="",D967=""),"",ROUND(MOD(D967-C967,1)*24,2))</f>
        <v/>
      </c>
      <c r="G967" s="7" t="n"/>
      <c r="H967" s="17">
        <f>IF(OR(A967="",B967=""),"",IF(COUNTIFS('Lançamentos Diários'!$A$5:$A$504,A967,'Lançamentos Diários'!$B$5:$B$504,B967)&gt;0,"OK","FALTA LANÇAMENTO"))</f>
        <v/>
      </c>
    </row>
    <row r="968">
      <c r="A968" s="14" t="n"/>
      <c r="B968" s="7" t="n"/>
      <c r="C968" s="15" t="n"/>
      <c r="D968" s="15" t="n"/>
      <c r="E968" s="7" t="n"/>
      <c r="F968" s="12">
        <f>IF(OR(C968="",D968=""),"",ROUND(MOD(D968-C968,1)*24,2))</f>
        <v/>
      </c>
      <c r="G968" s="7" t="n"/>
      <c r="H968" s="17">
        <f>IF(OR(A968="",B968=""),"",IF(COUNTIFS('Lançamentos Diários'!$A$5:$A$504,A968,'Lançamentos Diários'!$B$5:$B$504,B968)&gt;0,"OK","FALTA LANÇAMENTO"))</f>
        <v/>
      </c>
    </row>
    <row r="969">
      <c r="A969" s="14" t="n"/>
      <c r="B969" s="7" t="n"/>
      <c r="C969" s="15" t="n"/>
      <c r="D969" s="15" t="n"/>
      <c r="E969" s="7" t="n"/>
      <c r="F969" s="12">
        <f>IF(OR(C969="",D969=""),"",ROUND(MOD(D969-C969,1)*24,2))</f>
        <v/>
      </c>
      <c r="G969" s="7" t="n"/>
      <c r="H969" s="17">
        <f>IF(OR(A969="",B969=""),"",IF(COUNTIFS('Lançamentos Diários'!$A$5:$A$504,A969,'Lançamentos Diários'!$B$5:$B$504,B969)&gt;0,"OK","FALTA LANÇAMENTO"))</f>
        <v/>
      </c>
    </row>
    <row r="970">
      <c r="A970" s="14" t="n"/>
      <c r="B970" s="7" t="n"/>
      <c r="C970" s="15" t="n"/>
      <c r="D970" s="15" t="n"/>
      <c r="E970" s="7" t="n"/>
      <c r="F970" s="12">
        <f>IF(OR(C970="",D970=""),"",ROUND(MOD(D970-C970,1)*24,2))</f>
        <v/>
      </c>
      <c r="G970" s="7" t="n"/>
      <c r="H970" s="17">
        <f>IF(OR(A970="",B970=""),"",IF(COUNTIFS('Lançamentos Diários'!$A$5:$A$504,A970,'Lançamentos Diários'!$B$5:$B$504,B970)&gt;0,"OK","FALTA LANÇAMENTO"))</f>
        <v/>
      </c>
    </row>
    <row r="971">
      <c r="A971" s="14" t="n"/>
      <c r="B971" s="7" t="n"/>
      <c r="C971" s="15" t="n"/>
      <c r="D971" s="15" t="n"/>
      <c r="E971" s="7" t="n"/>
      <c r="F971" s="12">
        <f>IF(OR(C971="",D971=""),"",ROUND(MOD(D971-C971,1)*24,2))</f>
        <v/>
      </c>
      <c r="G971" s="7" t="n"/>
      <c r="H971" s="17">
        <f>IF(OR(A971="",B971=""),"",IF(COUNTIFS('Lançamentos Diários'!$A$5:$A$504,A971,'Lançamentos Diários'!$B$5:$B$504,B971)&gt;0,"OK","FALTA LANÇAMENTO"))</f>
        <v/>
      </c>
    </row>
    <row r="972">
      <c r="A972" s="14" t="n"/>
      <c r="B972" s="7" t="n"/>
      <c r="C972" s="15" t="n"/>
      <c r="D972" s="15" t="n"/>
      <c r="E972" s="7" t="n"/>
      <c r="F972" s="12">
        <f>IF(OR(C972="",D972=""),"",ROUND(MOD(D972-C972,1)*24,2))</f>
        <v/>
      </c>
      <c r="G972" s="7" t="n"/>
      <c r="H972" s="17">
        <f>IF(OR(A972="",B972=""),"",IF(COUNTIFS('Lançamentos Diários'!$A$5:$A$504,A972,'Lançamentos Diários'!$B$5:$B$504,B972)&gt;0,"OK","FALTA LANÇAMENTO"))</f>
        <v/>
      </c>
    </row>
    <row r="973">
      <c r="A973" s="14" t="n"/>
      <c r="B973" s="7" t="n"/>
      <c r="C973" s="15" t="n"/>
      <c r="D973" s="15" t="n"/>
      <c r="E973" s="7" t="n"/>
      <c r="F973" s="12">
        <f>IF(OR(C973="",D973=""),"",ROUND(MOD(D973-C973,1)*24,2))</f>
        <v/>
      </c>
      <c r="G973" s="7" t="n"/>
      <c r="H973" s="17">
        <f>IF(OR(A973="",B973=""),"",IF(COUNTIFS('Lançamentos Diários'!$A$5:$A$504,A973,'Lançamentos Diários'!$B$5:$B$504,B973)&gt;0,"OK","FALTA LANÇAMENTO"))</f>
        <v/>
      </c>
    </row>
    <row r="974">
      <c r="A974" s="14" t="n"/>
      <c r="B974" s="7" t="n"/>
      <c r="C974" s="15" t="n"/>
      <c r="D974" s="15" t="n"/>
      <c r="E974" s="7" t="n"/>
      <c r="F974" s="12">
        <f>IF(OR(C974="",D974=""),"",ROUND(MOD(D974-C974,1)*24,2))</f>
        <v/>
      </c>
      <c r="G974" s="7" t="n"/>
      <c r="H974" s="17">
        <f>IF(OR(A974="",B974=""),"",IF(COUNTIFS('Lançamentos Diários'!$A$5:$A$504,A974,'Lançamentos Diários'!$B$5:$B$504,B974)&gt;0,"OK","FALTA LANÇAMENTO"))</f>
        <v/>
      </c>
    </row>
    <row r="975">
      <c r="A975" s="14" t="n"/>
      <c r="B975" s="7" t="n"/>
      <c r="C975" s="15" t="n"/>
      <c r="D975" s="15" t="n"/>
      <c r="E975" s="7" t="n"/>
      <c r="F975" s="12">
        <f>IF(OR(C975="",D975=""),"",ROUND(MOD(D975-C975,1)*24,2))</f>
        <v/>
      </c>
      <c r="G975" s="7" t="n"/>
      <c r="H975" s="17">
        <f>IF(OR(A975="",B975=""),"",IF(COUNTIFS('Lançamentos Diários'!$A$5:$A$504,A975,'Lançamentos Diários'!$B$5:$B$504,B975)&gt;0,"OK","FALTA LANÇAMENTO"))</f>
        <v/>
      </c>
    </row>
    <row r="976">
      <c r="A976" s="14" t="n"/>
      <c r="B976" s="7" t="n"/>
      <c r="C976" s="15" t="n"/>
      <c r="D976" s="15" t="n"/>
      <c r="E976" s="7" t="n"/>
      <c r="F976" s="12">
        <f>IF(OR(C976="",D976=""),"",ROUND(MOD(D976-C976,1)*24,2))</f>
        <v/>
      </c>
      <c r="G976" s="7" t="n"/>
      <c r="H976" s="17">
        <f>IF(OR(A976="",B976=""),"",IF(COUNTIFS('Lançamentos Diários'!$A$5:$A$504,A976,'Lançamentos Diários'!$B$5:$B$504,B976)&gt;0,"OK","FALTA LANÇAMENTO"))</f>
        <v/>
      </c>
    </row>
    <row r="977">
      <c r="A977" s="14" t="n"/>
      <c r="B977" s="7" t="n"/>
      <c r="C977" s="15" t="n"/>
      <c r="D977" s="15" t="n"/>
      <c r="E977" s="7" t="n"/>
      <c r="F977" s="12">
        <f>IF(OR(C977="",D977=""),"",ROUND(MOD(D977-C977,1)*24,2))</f>
        <v/>
      </c>
      <c r="G977" s="7" t="n"/>
      <c r="H977" s="17">
        <f>IF(OR(A977="",B977=""),"",IF(COUNTIFS('Lançamentos Diários'!$A$5:$A$504,A977,'Lançamentos Diários'!$B$5:$B$504,B977)&gt;0,"OK","FALTA LANÇAMENTO"))</f>
        <v/>
      </c>
    </row>
    <row r="978">
      <c r="A978" s="14" t="n"/>
      <c r="B978" s="7" t="n"/>
      <c r="C978" s="15" t="n"/>
      <c r="D978" s="15" t="n"/>
      <c r="E978" s="7" t="n"/>
      <c r="F978" s="12">
        <f>IF(OR(C978="",D978=""),"",ROUND(MOD(D978-C978,1)*24,2))</f>
        <v/>
      </c>
      <c r="G978" s="7" t="n"/>
      <c r="H978" s="17">
        <f>IF(OR(A978="",B978=""),"",IF(COUNTIFS('Lançamentos Diários'!$A$5:$A$504,A978,'Lançamentos Diários'!$B$5:$B$504,B978)&gt;0,"OK","FALTA LANÇAMENTO"))</f>
        <v/>
      </c>
    </row>
    <row r="979">
      <c r="A979" s="14" t="n"/>
      <c r="B979" s="7" t="n"/>
      <c r="C979" s="15" t="n"/>
      <c r="D979" s="15" t="n"/>
      <c r="E979" s="7" t="n"/>
      <c r="F979" s="12">
        <f>IF(OR(C979="",D979=""),"",ROUND(MOD(D979-C979,1)*24,2))</f>
        <v/>
      </c>
      <c r="G979" s="7" t="n"/>
      <c r="H979" s="17">
        <f>IF(OR(A979="",B979=""),"",IF(COUNTIFS('Lançamentos Diários'!$A$5:$A$504,A979,'Lançamentos Diários'!$B$5:$B$504,B979)&gt;0,"OK","FALTA LANÇAMENTO"))</f>
        <v/>
      </c>
    </row>
    <row r="980">
      <c r="A980" s="14" t="n"/>
      <c r="B980" s="7" t="n"/>
      <c r="C980" s="15" t="n"/>
      <c r="D980" s="15" t="n"/>
      <c r="E980" s="7" t="n"/>
      <c r="F980" s="12">
        <f>IF(OR(C980="",D980=""),"",ROUND(MOD(D980-C980,1)*24,2))</f>
        <v/>
      </c>
      <c r="G980" s="7" t="n"/>
      <c r="H980" s="17">
        <f>IF(OR(A980="",B980=""),"",IF(COUNTIFS('Lançamentos Diários'!$A$5:$A$504,A980,'Lançamentos Diários'!$B$5:$B$504,B980)&gt;0,"OK","FALTA LANÇAMENTO"))</f>
        <v/>
      </c>
    </row>
    <row r="981">
      <c r="A981" s="14" t="n"/>
      <c r="B981" s="7" t="n"/>
      <c r="C981" s="15" t="n"/>
      <c r="D981" s="15" t="n"/>
      <c r="E981" s="7" t="n"/>
      <c r="F981" s="12">
        <f>IF(OR(C981="",D981=""),"",ROUND(MOD(D981-C981,1)*24,2))</f>
        <v/>
      </c>
      <c r="G981" s="7" t="n"/>
      <c r="H981" s="17">
        <f>IF(OR(A981="",B981=""),"",IF(COUNTIFS('Lançamentos Diários'!$A$5:$A$504,A981,'Lançamentos Diários'!$B$5:$B$504,B981)&gt;0,"OK","FALTA LANÇAMENTO"))</f>
        <v/>
      </c>
    </row>
    <row r="982">
      <c r="A982" s="14" t="n"/>
      <c r="B982" s="7" t="n"/>
      <c r="C982" s="15" t="n"/>
      <c r="D982" s="15" t="n"/>
      <c r="E982" s="7" t="n"/>
      <c r="F982" s="12">
        <f>IF(OR(C982="",D982=""),"",ROUND(MOD(D982-C982,1)*24,2))</f>
        <v/>
      </c>
      <c r="G982" s="7" t="n"/>
      <c r="H982" s="17">
        <f>IF(OR(A982="",B982=""),"",IF(COUNTIFS('Lançamentos Diários'!$A$5:$A$504,A982,'Lançamentos Diários'!$B$5:$B$504,B982)&gt;0,"OK","FALTA LANÇAMENTO"))</f>
        <v/>
      </c>
    </row>
    <row r="983">
      <c r="A983" s="14" t="n"/>
      <c r="B983" s="7" t="n"/>
      <c r="C983" s="15" t="n"/>
      <c r="D983" s="15" t="n"/>
      <c r="E983" s="7" t="n"/>
      <c r="F983" s="12">
        <f>IF(OR(C983="",D983=""),"",ROUND(MOD(D983-C983,1)*24,2))</f>
        <v/>
      </c>
      <c r="G983" s="7" t="n"/>
      <c r="H983" s="17">
        <f>IF(OR(A983="",B983=""),"",IF(COUNTIFS('Lançamentos Diários'!$A$5:$A$504,A983,'Lançamentos Diários'!$B$5:$B$504,B983)&gt;0,"OK","FALTA LANÇAMENTO"))</f>
        <v/>
      </c>
    </row>
    <row r="984">
      <c r="A984" s="14" t="n"/>
      <c r="B984" s="7" t="n"/>
      <c r="C984" s="15" t="n"/>
      <c r="D984" s="15" t="n"/>
      <c r="E984" s="7" t="n"/>
      <c r="F984" s="12">
        <f>IF(OR(C984="",D984=""),"",ROUND(MOD(D984-C984,1)*24,2))</f>
        <v/>
      </c>
      <c r="G984" s="7" t="n"/>
      <c r="H984" s="17">
        <f>IF(OR(A984="",B984=""),"",IF(COUNTIFS('Lançamentos Diários'!$A$5:$A$504,A984,'Lançamentos Diários'!$B$5:$B$504,B984)&gt;0,"OK","FALTA LANÇAMENTO"))</f>
        <v/>
      </c>
    </row>
    <row r="985">
      <c r="A985" s="14" t="n"/>
      <c r="B985" s="7" t="n"/>
      <c r="C985" s="15" t="n"/>
      <c r="D985" s="15" t="n"/>
      <c r="E985" s="7" t="n"/>
      <c r="F985" s="12">
        <f>IF(OR(C985="",D985=""),"",ROUND(MOD(D985-C985,1)*24,2))</f>
        <v/>
      </c>
      <c r="G985" s="7" t="n"/>
      <c r="H985" s="17">
        <f>IF(OR(A985="",B985=""),"",IF(COUNTIFS('Lançamentos Diários'!$A$5:$A$504,A985,'Lançamentos Diários'!$B$5:$B$504,B985)&gt;0,"OK","FALTA LANÇAMENTO"))</f>
        <v/>
      </c>
    </row>
    <row r="986">
      <c r="A986" s="14" t="n"/>
      <c r="B986" s="7" t="n"/>
      <c r="C986" s="15" t="n"/>
      <c r="D986" s="15" t="n"/>
      <c r="E986" s="7" t="n"/>
      <c r="F986" s="12">
        <f>IF(OR(C986="",D986=""),"",ROUND(MOD(D986-C986,1)*24,2))</f>
        <v/>
      </c>
      <c r="G986" s="7" t="n"/>
      <c r="H986" s="17">
        <f>IF(OR(A986="",B986=""),"",IF(COUNTIFS('Lançamentos Diários'!$A$5:$A$504,A986,'Lançamentos Diários'!$B$5:$B$504,B986)&gt;0,"OK","FALTA LANÇAMENTO"))</f>
        <v/>
      </c>
    </row>
    <row r="987">
      <c r="A987" s="14" t="n"/>
      <c r="B987" s="7" t="n"/>
      <c r="C987" s="15" t="n"/>
      <c r="D987" s="15" t="n"/>
      <c r="E987" s="7" t="n"/>
      <c r="F987" s="12">
        <f>IF(OR(C987="",D987=""),"",ROUND(MOD(D987-C987,1)*24,2))</f>
        <v/>
      </c>
      <c r="G987" s="7" t="n"/>
      <c r="H987" s="17">
        <f>IF(OR(A987="",B987=""),"",IF(COUNTIFS('Lançamentos Diários'!$A$5:$A$504,A987,'Lançamentos Diários'!$B$5:$B$504,B987)&gt;0,"OK","FALTA LANÇAMENTO"))</f>
        <v/>
      </c>
    </row>
    <row r="988">
      <c r="A988" s="14" t="n"/>
      <c r="B988" s="7" t="n"/>
      <c r="C988" s="15" t="n"/>
      <c r="D988" s="15" t="n"/>
      <c r="E988" s="7" t="n"/>
      <c r="F988" s="12">
        <f>IF(OR(C988="",D988=""),"",ROUND(MOD(D988-C988,1)*24,2))</f>
        <v/>
      </c>
      <c r="G988" s="7" t="n"/>
      <c r="H988" s="17">
        <f>IF(OR(A988="",B988=""),"",IF(COUNTIFS('Lançamentos Diários'!$A$5:$A$504,A988,'Lançamentos Diários'!$B$5:$B$504,B988)&gt;0,"OK","FALTA LANÇAMENTO"))</f>
        <v/>
      </c>
    </row>
    <row r="989">
      <c r="A989" s="14" t="n"/>
      <c r="B989" s="7" t="n"/>
      <c r="C989" s="15" t="n"/>
      <c r="D989" s="15" t="n"/>
      <c r="E989" s="7" t="n"/>
      <c r="F989" s="12">
        <f>IF(OR(C989="",D989=""),"",ROUND(MOD(D989-C989,1)*24,2))</f>
        <v/>
      </c>
      <c r="G989" s="7" t="n"/>
      <c r="H989" s="17">
        <f>IF(OR(A989="",B989=""),"",IF(COUNTIFS('Lançamentos Diários'!$A$5:$A$504,A989,'Lançamentos Diários'!$B$5:$B$504,B989)&gt;0,"OK","FALTA LANÇAMENTO"))</f>
        <v/>
      </c>
    </row>
    <row r="990">
      <c r="A990" s="14" t="n"/>
      <c r="B990" s="7" t="n"/>
      <c r="C990" s="15" t="n"/>
      <c r="D990" s="15" t="n"/>
      <c r="E990" s="7" t="n"/>
      <c r="F990" s="12">
        <f>IF(OR(C990="",D990=""),"",ROUND(MOD(D990-C990,1)*24,2))</f>
        <v/>
      </c>
      <c r="G990" s="7" t="n"/>
      <c r="H990" s="17">
        <f>IF(OR(A990="",B990=""),"",IF(COUNTIFS('Lançamentos Diários'!$A$5:$A$504,A990,'Lançamentos Diários'!$B$5:$B$504,B990)&gt;0,"OK","FALTA LANÇAMENTO"))</f>
        <v/>
      </c>
    </row>
    <row r="991">
      <c r="A991" s="14" t="n"/>
      <c r="B991" s="7" t="n"/>
      <c r="C991" s="15" t="n"/>
      <c r="D991" s="15" t="n"/>
      <c r="E991" s="7" t="n"/>
      <c r="F991" s="12">
        <f>IF(OR(C991="",D991=""),"",ROUND(MOD(D991-C991,1)*24,2))</f>
        <v/>
      </c>
      <c r="G991" s="7" t="n"/>
      <c r="H991" s="17">
        <f>IF(OR(A991="",B991=""),"",IF(COUNTIFS('Lançamentos Diários'!$A$5:$A$504,A991,'Lançamentos Diários'!$B$5:$B$504,B991)&gt;0,"OK","FALTA LANÇAMENTO"))</f>
        <v/>
      </c>
    </row>
    <row r="992">
      <c r="A992" s="14" t="n"/>
      <c r="B992" s="7" t="n"/>
      <c r="C992" s="15" t="n"/>
      <c r="D992" s="15" t="n"/>
      <c r="E992" s="7" t="n"/>
      <c r="F992" s="12">
        <f>IF(OR(C992="",D992=""),"",ROUND(MOD(D992-C992,1)*24,2))</f>
        <v/>
      </c>
      <c r="G992" s="7" t="n"/>
      <c r="H992" s="17">
        <f>IF(OR(A992="",B992=""),"",IF(COUNTIFS('Lançamentos Diários'!$A$5:$A$504,A992,'Lançamentos Diários'!$B$5:$B$504,B992)&gt;0,"OK","FALTA LANÇAMENTO"))</f>
        <v/>
      </c>
    </row>
    <row r="993">
      <c r="A993" s="14" t="n"/>
      <c r="B993" s="7" t="n"/>
      <c r="C993" s="15" t="n"/>
      <c r="D993" s="15" t="n"/>
      <c r="E993" s="7" t="n"/>
      <c r="F993" s="12">
        <f>IF(OR(C993="",D993=""),"",ROUND(MOD(D993-C993,1)*24,2))</f>
        <v/>
      </c>
      <c r="G993" s="7" t="n"/>
      <c r="H993" s="17">
        <f>IF(OR(A993="",B993=""),"",IF(COUNTIFS('Lançamentos Diários'!$A$5:$A$504,A993,'Lançamentos Diários'!$B$5:$B$504,B993)&gt;0,"OK","FALTA LANÇAMENTO"))</f>
        <v/>
      </c>
    </row>
    <row r="994">
      <c r="A994" s="14" t="n"/>
      <c r="B994" s="7" t="n"/>
      <c r="C994" s="15" t="n"/>
      <c r="D994" s="15" t="n"/>
      <c r="E994" s="7" t="n"/>
      <c r="F994" s="12">
        <f>IF(OR(C994="",D994=""),"",ROUND(MOD(D994-C994,1)*24,2))</f>
        <v/>
      </c>
      <c r="G994" s="7" t="n"/>
      <c r="H994" s="17">
        <f>IF(OR(A994="",B994=""),"",IF(COUNTIFS('Lançamentos Diários'!$A$5:$A$504,A994,'Lançamentos Diários'!$B$5:$B$504,B994)&gt;0,"OK","FALTA LANÇAMENTO"))</f>
        <v/>
      </c>
    </row>
    <row r="995">
      <c r="A995" s="14" t="n"/>
      <c r="B995" s="7" t="n"/>
      <c r="C995" s="15" t="n"/>
      <c r="D995" s="15" t="n"/>
      <c r="E995" s="7" t="n"/>
      <c r="F995" s="12">
        <f>IF(OR(C995="",D995=""),"",ROUND(MOD(D995-C995,1)*24,2))</f>
        <v/>
      </c>
      <c r="G995" s="7" t="n"/>
      <c r="H995" s="17">
        <f>IF(OR(A995="",B995=""),"",IF(COUNTIFS('Lançamentos Diários'!$A$5:$A$504,A995,'Lançamentos Diários'!$B$5:$B$504,B995)&gt;0,"OK","FALTA LANÇAMENTO"))</f>
        <v/>
      </c>
    </row>
    <row r="996">
      <c r="A996" s="14" t="n"/>
      <c r="B996" s="7" t="n"/>
      <c r="C996" s="15" t="n"/>
      <c r="D996" s="15" t="n"/>
      <c r="E996" s="7" t="n"/>
      <c r="F996" s="12">
        <f>IF(OR(C996="",D996=""),"",ROUND(MOD(D996-C996,1)*24,2))</f>
        <v/>
      </c>
      <c r="G996" s="7" t="n"/>
      <c r="H996" s="17">
        <f>IF(OR(A996="",B996=""),"",IF(COUNTIFS('Lançamentos Diários'!$A$5:$A$504,A996,'Lançamentos Diários'!$B$5:$B$504,B996)&gt;0,"OK","FALTA LANÇAMENTO"))</f>
        <v/>
      </c>
    </row>
    <row r="997">
      <c r="A997" s="14" t="n"/>
      <c r="B997" s="7" t="n"/>
      <c r="C997" s="15" t="n"/>
      <c r="D997" s="15" t="n"/>
      <c r="E997" s="7" t="n"/>
      <c r="F997" s="12">
        <f>IF(OR(C997="",D997=""),"",ROUND(MOD(D997-C997,1)*24,2))</f>
        <v/>
      </c>
      <c r="G997" s="7" t="n"/>
      <c r="H997" s="17">
        <f>IF(OR(A997="",B997=""),"",IF(COUNTIFS('Lançamentos Diários'!$A$5:$A$504,A997,'Lançamentos Diários'!$B$5:$B$504,B997)&gt;0,"OK","FALTA LANÇAMENTO"))</f>
        <v/>
      </c>
    </row>
    <row r="998">
      <c r="A998" s="14" t="n"/>
      <c r="B998" s="7" t="n"/>
      <c r="C998" s="15" t="n"/>
      <c r="D998" s="15" t="n"/>
      <c r="E998" s="7" t="n"/>
      <c r="F998" s="12">
        <f>IF(OR(C998="",D998=""),"",ROUND(MOD(D998-C998,1)*24,2))</f>
        <v/>
      </c>
      <c r="G998" s="7" t="n"/>
      <c r="H998" s="17">
        <f>IF(OR(A998="",B998=""),"",IF(COUNTIFS('Lançamentos Diários'!$A$5:$A$504,A998,'Lançamentos Diários'!$B$5:$B$504,B998)&gt;0,"OK","FALTA LANÇAMENTO"))</f>
        <v/>
      </c>
    </row>
    <row r="999">
      <c r="A999" s="14" t="n"/>
      <c r="B999" s="7" t="n"/>
      <c r="C999" s="15" t="n"/>
      <c r="D999" s="15" t="n"/>
      <c r="E999" s="7" t="n"/>
      <c r="F999" s="12">
        <f>IF(OR(C999="",D999=""),"",ROUND(MOD(D999-C999,1)*24,2))</f>
        <v/>
      </c>
      <c r="G999" s="7" t="n"/>
      <c r="H999" s="17">
        <f>IF(OR(A999="",B999=""),"",IF(COUNTIFS('Lançamentos Diários'!$A$5:$A$504,A999,'Lançamentos Diários'!$B$5:$B$504,B999)&gt;0,"OK","FALTA LANÇAMENTO"))</f>
        <v/>
      </c>
    </row>
    <row r="1000">
      <c r="A1000" s="14" t="n"/>
      <c r="B1000" s="7" t="n"/>
      <c r="C1000" s="15" t="n"/>
      <c r="D1000" s="15" t="n"/>
      <c r="E1000" s="7" t="n"/>
      <c r="F1000" s="12">
        <f>IF(OR(C1000="",D1000=""),"",ROUND(MOD(D1000-C1000,1)*24,2))</f>
        <v/>
      </c>
      <c r="G1000" s="7" t="n"/>
      <c r="H1000" s="17">
        <f>IF(OR(A1000="",B1000=""),"",IF(COUNTIFS('Lançamentos Diários'!$A$5:$A$504,A1000,'Lançamentos Diários'!$B$5:$B$504,B1000)&gt;0,"OK","FALTA LANÇAMENTO"))</f>
        <v/>
      </c>
    </row>
    <row r="1001">
      <c r="A1001" s="14" t="n"/>
      <c r="B1001" s="7" t="n"/>
      <c r="C1001" s="15" t="n"/>
      <c r="D1001" s="15" t="n"/>
      <c r="E1001" s="7" t="n"/>
      <c r="F1001" s="12">
        <f>IF(OR(C1001="",D1001=""),"",ROUND(MOD(D1001-C1001,1)*24,2))</f>
        <v/>
      </c>
      <c r="G1001" s="7" t="n"/>
      <c r="H1001" s="17">
        <f>IF(OR(A1001="",B1001=""),"",IF(COUNTIFS('Lançamentos Diários'!$A$5:$A$504,A1001,'Lançamentos Diários'!$B$5:$B$504,B1001)&gt;0,"OK","FALTA LANÇAMENTO"))</f>
        <v/>
      </c>
    </row>
    <row r="1002">
      <c r="A1002" s="14" t="n"/>
      <c r="B1002" s="7" t="n"/>
      <c r="C1002" s="15" t="n"/>
      <c r="D1002" s="15" t="n"/>
      <c r="E1002" s="7" t="n"/>
      <c r="F1002" s="12">
        <f>IF(OR(C1002="",D1002=""),"",ROUND(MOD(D1002-C1002,1)*24,2))</f>
        <v/>
      </c>
      <c r="G1002" s="7" t="n"/>
      <c r="H1002" s="17">
        <f>IF(OR(A1002="",B1002=""),"",IF(COUNTIFS('Lançamentos Diários'!$A$5:$A$504,A1002,'Lançamentos Diários'!$B$5:$B$504,B1002)&gt;0,"OK","FALTA LANÇAMENTO"))</f>
        <v/>
      </c>
    </row>
    <row r="1003">
      <c r="A1003" s="14" t="n"/>
      <c r="B1003" s="7" t="n"/>
      <c r="C1003" s="15" t="n"/>
      <c r="D1003" s="15" t="n"/>
      <c r="E1003" s="7" t="n"/>
      <c r="F1003" s="12">
        <f>IF(OR(C1003="",D1003=""),"",ROUND(MOD(D1003-C1003,1)*24,2))</f>
        <v/>
      </c>
      <c r="G1003" s="7" t="n"/>
      <c r="H1003" s="17">
        <f>IF(OR(A1003="",B1003=""),"",IF(COUNTIFS('Lançamentos Diários'!$A$5:$A$504,A1003,'Lançamentos Diários'!$B$5:$B$504,B1003)&gt;0,"OK","FALTA LANÇAMENTO"))</f>
        <v/>
      </c>
    </row>
    <row r="1004">
      <c r="A1004" s="14" t="n"/>
      <c r="B1004" s="7" t="n"/>
      <c r="C1004" s="15" t="n"/>
      <c r="D1004" s="15" t="n"/>
      <c r="E1004" s="7" t="n"/>
      <c r="F1004" s="12">
        <f>IF(OR(C1004="",D1004=""),"",ROUND(MOD(D1004-C1004,1)*24,2))</f>
        <v/>
      </c>
      <c r="G1004" s="7" t="n"/>
      <c r="H1004" s="17">
        <f>IF(OR(A1004="",B1004=""),"",IF(COUNTIFS('Lançamentos Diários'!$A$5:$A$504,A1004,'Lançamentos Diários'!$B$5:$B$504,B1004)&gt;0,"OK","FALTA LANÇAMENTO"))</f>
        <v/>
      </c>
    </row>
  </sheetData>
  <autoFilter ref="A4:H1004"/>
  <conditionalFormatting sqref="H5:H1004">
    <cfRule type="expression" priority="1" dxfId="0">
      <formula>H5="FALTA LANÇAMENTO"</formula>
    </cfRule>
  </conditionalFormatting>
  <dataValidations count="2">
    <dataValidation sqref="B5:B1004" showDropDown="0" showInputMessage="0" showErrorMessage="0" allowBlank="1" type="list">
      <formula1>=Equipamentos!$A$5:$A$10</formula1>
    </dataValidation>
    <dataValidation sqref="E5:E1004" showDropDown="0" showInputMessage="0" showErrorMessage="0" allowBlank="1" type="list">
      <formula1>='Motivos de Parada'!$A$5:$A$24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RESUMO MENSAL POR EQUIPAMENTO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Digite qualquer dia do mês desejado na célula amarela.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8" t="inlineStr">
        <is>
          <t>Mês de referência:</t>
        </is>
      </c>
      <c r="B3" s="19" t="n">
        <v>46266</v>
      </c>
      <c r="C3" s="2" t="n"/>
      <c r="D3" s="2" t="inlineStr">
        <is>
          <t>De:</t>
        </is>
      </c>
      <c r="E3" s="20">
        <f>DATE(YEAR(B3),MONTH(B3),1)</f>
        <v/>
      </c>
      <c r="F3" s="2" t="inlineStr">
        <is>
          <t>até:</t>
        </is>
      </c>
      <c r="G3" s="20">
        <f>EOMONTH(B3,0)</f>
        <v/>
      </c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32" customHeight="1">
      <c r="A5" s="4" t="inlineStr">
        <is>
          <t>Equipamento</t>
        </is>
      </c>
      <c r="B5" s="4" t="inlineStr">
        <is>
          <t>Dias lançados</t>
        </is>
      </c>
      <c r="C5" s="4" t="inlineStr">
        <is>
          <t>Horas totais</t>
        </is>
      </c>
      <c r="D5" s="4" t="inlineStr">
        <is>
          <t>Horas paradas</t>
        </is>
      </c>
      <c r="E5" s="4" t="inlineStr">
        <is>
          <t>Horas efetivas trabalhadas</t>
        </is>
      </c>
      <c r="F5" s="4" t="inlineStr">
        <is>
          <t>Nº de paradas</t>
        </is>
      </c>
      <c r="G5" s="4" t="inlineStr">
        <is>
          <t>Média efetiva por dia</t>
        </is>
      </c>
      <c r="H5" s="4" t="inlineStr">
        <is>
          <t>% do tempo trabalhando</t>
        </is>
      </c>
    </row>
    <row r="6">
      <c r="A6" s="21">
        <f>IF(Equipamentos!A5="","",Equipamentos!A5)</f>
        <v/>
      </c>
      <c r="B6" s="21">
        <f>IF(A6="","",COUNTIFS('Lançamentos Diários'!$B$5:$B$504,$A6,'Lançamentos Diários'!$A$5:$A$504,"&gt;="&amp;$E$3,'Lançamentos Diários'!$A$5:$A$504,"&lt;="&amp;$G$3))</f>
        <v/>
      </c>
      <c r="C6" s="22">
        <f>IF(A6="","",SUMIFS('Lançamentos Diários'!$J$5:$J$504,'Lançamentos Diários'!$B$5:$B$504,$A6,'Lançamentos Diários'!$A$5:$A$504,"&gt;="&amp;$E$3,'Lançamentos Diários'!$A$5:$A$504,"&lt;="&amp;$G$3))</f>
        <v/>
      </c>
      <c r="D6" s="22">
        <f>IF(A6="","",SUMIFS(Paradas!$F$5:$F$1004,Paradas!$B$5:$B$1004,$A6,Paradas!$A$5:$A$1004,"&gt;="&amp;$E$3,Paradas!$A$5:$A$1004,"&lt;="&amp;$G$3))</f>
        <v/>
      </c>
      <c r="E6" s="22">
        <f>IF(A6="","",C6-D6)</f>
        <v/>
      </c>
      <c r="F6" s="21">
        <f>IF(A6="","",COUNTIFS(Paradas!$B$5:$B$1004,$A6,Paradas!$A$5:$A$1004,"&gt;="&amp;$E$3,Paradas!$A$5:$A$1004,"&lt;="&amp;$G$3))</f>
        <v/>
      </c>
      <c r="G6" s="22">
        <f>IF(A6="","",IF(B6=0,0,E6/B6))</f>
        <v/>
      </c>
      <c r="H6" s="23">
        <f>IF(A6="","",IF(C6=0,0,E6/C6))</f>
        <v/>
      </c>
    </row>
    <row r="7">
      <c r="A7" s="21">
        <f>IF(Equipamentos!A6="","",Equipamentos!A6)</f>
        <v/>
      </c>
      <c r="B7" s="21">
        <f>IF(A7="","",COUNTIFS('Lançamentos Diários'!$B$5:$B$504,$A7,'Lançamentos Diários'!$A$5:$A$504,"&gt;="&amp;$E$3,'Lançamentos Diários'!$A$5:$A$504,"&lt;="&amp;$G$3))</f>
        <v/>
      </c>
      <c r="C7" s="22">
        <f>IF(A7="","",SUMIFS('Lançamentos Diários'!$J$5:$J$504,'Lançamentos Diários'!$B$5:$B$504,$A7,'Lançamentos Diários'!$A$5:$A$504,"&gt;="&amp;$E$3,'Lançamentos Diários'!$A$5:$A$504,"&lt;="&amp;$G$3))</f>
        <v/>
      </c>
      <c r="D7" s="22">
        <f>IF(A7="","",SUMIFS(Paradas!$F$5:$F$1004,Paradas!$B$5:$B$1004,$A7,Paradas!$A$5:$A$1004,"&gt;="&amp;$E$3,Paradas!$A$5:$A$1004,"&lt;="&amp;$G$3))</f>
        <v/>
      </c>
      <c r="E7" s="22">
        <f>IF(A7="","",C7-D7)</f>
        <v/>
      </c>
      <c r="F7" s="21">
        <f>IF(A7="","",COUNTIFS(Paradas!$B$5:$B$1004,$A7,Paradas!$A$5:$A$1004,"&gt;="&amp;$E$3,Paradas!$A$5:$A$1004,"&lt;="&amp;$G$3))</f>
        <v/>
      </c>
      <c r="G7" s="22">
        <f>IF(A7="","",IF(B7=0,0,E7/B7))</f>
        <v/>
      </c>
      <c r="H7" s="23">
        <f>IF(A7="","",IF(C7=0,0,E7/C7))</f>
        <v/>
      </c>
    </row>
    <row r="8">
      <c r="A8" s="21">
        <f>IF(Equipamentos!A7="","",Equipamentos!A7)</f>
        <v/>
      </c>
      <c r="B8" s="21">
        <f>IF(A8="","",COUNTIFS('Lançamentos Diários'!$B$5:$B$504,$A8,'Lançamentos Diários'!$A$5:$A$504,"&gt;="&amp;$E$3,'Lançamentos Diários'!$A$5:$A$504,"&lt;="&amp;$G$3))</f>
        <v/>
      </c>
      <c r="C8" s="22">
        <f>IF(A8="","",SUMIFS('Lançamentos Diários'!$J$5:$J$504,'Lançamentos Diários'!$B$5:$B$504,$A8,'Lançamentos Diários'!$A$5:$A$504,"&gt;="&amp;$E$3,'Lançamentos Diários'!$A$5:$A$504,"&lt;="&amp;$G$3))</f>
        <v/>
      </c>
      <c r="D8" s="22">
        <f>IF(A8="","",SUMIFS(Paradas!$F$5:$F$1004,Paradas!$B$5:$B$1004,$A8,Paradas!$A$5:$A$1004,"&gt;="&amp;$E$3,Paradas!$A$5:$A$1004,"&lt;="&amp;$G$3))</f>
        <v/>
      </c>
      <c r="E8" s="22">
        <f>IF(A8="","",C8-D8)</f>
        <v/>
      </c>
      <c r="F8" s="21">
        <f>IF(A8="","",COUNTIFS(Paradas!$B$5:$B$1004,$A8,Paradas!$A$5:$A$1004,"&gt;="&amp;$E$3,Paradas!$A$5:$A$1004,"&lt;="&amp;$G$3))</f>
        <v/>
      </c>
      <c r="G8" s="22">
        <f>IF(A8="","",IF(B8=0,0,E8/B8))</f>
        <v/>
      </c>
      <c r="H8" s="23">
        <f>IF(A8="","",IF(C8=0,0,E8/C8))</f>
        <v/>
      </c>
    </row>
    <row r="9">
      <c r="A9" s="21">
        <f>IF(Equipamentos!A8="","",Equipamentos!A8)</f>
        <v/>
      </c>
      <c r="B9" s="21">
        <f>IF(A9="","",COUNTIFS('Lançamentos Diários'!$B$5:$B$504,$A9,'Lançamentos Diários'!$A$5:$A$504,"&gt;="&amp;$E$3,'Lançamentos Diários'!$A$5:$A$504,"&lt;="&amp;$G$3))</f>
        <v/>
      </c>
      <c r="C9" s="22">
        <f>IF(A9="","",SUMIFS('Lançamentos Diários'!$J$5:$J$504,'Lançamentos Diários'!$B$5:$B$504,$A9,'Lançamentos Diários'!$A$5:$A$504,"&gt;="&amp;$E$3,'Lançamentos Diários'!$A$5:$A$504,"&lt;="&amp;$G$3))</f>
        <v/>
      </c>
      <c r="D9" s="22">
        <f>IF(A9="","",SUMIFS(Paradas!$F$5:$F$1004,Paradas!$B$5:$B$1004,$A9,Paradas!$A$5:$A$1004,"&gt;="&amp;$E$3,Paradas!$A$5:$A$1004,"&lt;="&amp;$G$3))</f>
        <v/>
      </c>
      <c r="E9" s="22">
        <f>IF(A9="","",C9-D9)</f>
        <v/>
      </c>
      <c r="F9" s="21">
        <f>IF(A9="","",COUNTIFS(Paradas!$B$5:$B$1004,$A9,Paradas!$A$5:$A$1004,"&gt;="&amp;$E$3,Paradas!$A$5:$A$1004,"&lt;="&amp;$G$3))</f>
        <v/>
      </c>
      <c r="G9" s="22">
        <f>IF(A9="","",IF(B9=0,0,E9/B9))</f>
        <v/>
      </c>
      <c r="H9" s="23">
        <f>IF(A9="","",IF(C9=0,0,E9/C9))</f>
        <v/>
      </c>
    </row>
    <row r="10">
      <c r="A10" s="21">
        <f>IF(Equipamentos!A9="","",Equipamentos!A9)</f>
        <v/>
      </c>
      <c r="B10" s="21">
        <f>IF(A10="","",COUNTIFS('Lançamentos Diários'!$B$5:$B$504,$A10,'Lançamentos Diários'!$A$5:$A$504,"&gt;="&amp;$E$3,'Lançamentos Diários'!$A$5:$A$504,"&lt;="&amp;$G$3))</f>
        <v/>
      </c>
      <c r="C10" s="22">
        <f>IF(A10="","",SUMIFS('Lançamentos Diários'!$J$5:$J$504,'Lançamentos Diários'!$B$5:$B$504,$A10,'Lançamentos Diários'!$A$5:$A$504,"&gt;="&amp;$E$3,'Lançamentos Diários'!$A$5:$A$504,"&lt;="&amp;$G$3))</f>
        <v/>
      </c>
      <c r="D10" s="22">
        <f>IF(A10="","",SUMIFS(Paradas!$F$5:$F$1004,Paradas!$B$5:$B$1004,$A10,Paradas!$A$5:$A$1004,"&gt;="&amp;$E$3,Paradas!$A$5:$A$1004,"&lt;="&amp;$G$3))</f>
        <v/>
      </c>
      <c r="E10" s="22">
        <f>IF(A10="","",C10-D10)</f>
        <v/>
      </c>
      <c r="F10" s="21">
        <f>IF(A10="","",COUNTIFS(Paradas!$B$5:$B$1004,$A10,Paradas!$A$5:$A$1004,"&gt;="&amp;$E$3,Paradas!$A$5:$A$1004,"&lt;="&amp;$G$3))</f>
        <v/>
      </c>
      <c r="G10" s="22">
        <f>IF(A10="","",IF(B10=0,0,E10/B10))</f>
        <v/>
      </c>
      <c r="H10" s="23">
        <f>IF(A10="","",IF(C10=0,0,E10/C10))</f>
        <v/>
      </c>
    </row>
    <row r="11">
      <c r="A11" s="21">
        <f>IF(Equipamentos!A10="","",Equipamentos!A10)</f>
        <v/>
      </c>
      <c r="B11" s="21">
        <f>IF(A11="","",COUNTIFS('Lançamentos Diários'!$B$5:$B$504,$A11,'Lançamentos Diários'!$A$5:$A$504,"&gt;="&amp;$E$3,'Lançamentos Diários'!$A$5:$A$504,"&lt;="&amp;$G$3))</f>
        <v/>
      </c>
      <c r="C11" s="22">
        <f>IF(A11="","",SUMIFS('Lançamentos Diários'!$J$5:$J$504,'Lançamentos Diários'!$B$5:$B$504,$A11,'Lançamentos Diários'!$A$5:$A$504,"&gt;="&amp;$E$3,'Lançamentos Diários'!$A$5:$A$504,"&lt;="&amp;$G$3))</f>
        <v/>
      </c>
      <c r="D11" s="22">
        <f>IF(A11="","",SUMIFS(Paradas!$F$5:$F$1004,Paradas!$B$5:$B$1004,$A11,Paradas!$A$5:$A$1004,"&gt;="&amp;$E$3,Paradas!$A$5:$A$1004,"&lt;="&amp;$G$3))</f>
        <v/>
      </c>
      <c r="E11" s="22">
        <f>IF(A11="","",C11-D11)</f>
        <v/>
      </c>
      <c r="F11" s="21">
        <f>IF(A11="","",COUNTIFS(Paradas!$B$5:$B$1004,$A11,Paradas!$A$5:$A$1004,"&gt;="&amp;$E$3,Paradas!$A$5:$A$1004,"&lt;="&amp;$G$3))</f>
        <v/>
      </c>
      <c r="G11" s="22">
        <f>IF(A11="","",IF(B11=0,0,E11/B11))</f>
        <v/>
      </c>
      <c r="H11" s="23">
        <f>IF(A11="","",IF(C11=0,0,E11/C11))</f>
        <v/>
      </c>
    </row>
    <row r="12">
      <c r="A12" s="18" t="inlineStr">
        <is>
          <t>TOTAL</t>
        </is>
      </c>
      <c r="B12" s="24">
        <f>SUM(B6:B11)</f>
        <v/>
      </c>
      <c r="C12" s="25">
        <f>SUM(C6:C11)</f>
        <v/>
      </c>
      <c r="D12" s="25">
        <f>SUM(D6:D11)</f>
        <v/>
      </c>
      <c r="E12" s="25">
        <f>SUM(E6:E11)</f>
        <v/>
      </c>
      <c r="F12" s="24">
        <f>SUM(F6:F11)</f>
        <v/>
      </c>
      <c r="G12" s="2" t="n"/>
      <c r="H12" s="26">
        <f>IF(C12=0,0,E12/C12)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7" t="inlineStr">
        <is>
          <t>HORAS PARADAS POR MOTIVO NO MÊS</t>
        </is>
      </c>
      <c r="B15" s="2" t="n"/>
      <c r="C15" s="2" t="n"/>
      <c r="D15" s="2" t="n"/>
      <c r="E15" s="2" t="n"/>
      <c r="F15" s="2" t="n"/>
      <c r="G15" s="2" t="n"/>
      <c r="H15" s="2" t="n"/>
    </row>
    <row r="16" ht="32" customHeight="1">
      <c r="A16" s="8" t="inlineStr">
        <is>
          <t>Motivo</t>
        </is>
      </c>
      <c r="B16" s="8">
        <f>IF(Equipamentos!A5="","",Equipamentos!A5)</f>
        <v/>
      </c>
      <c r="C16" s="8">
        <f>IF(Equipamentos!A6="","",Equipamentos!A6)</f>
        <v/>
      </c>
      <c r="D16" s="8">
        <f>IF(Equipamentos!A7="","",Equipamentos!A7)</f>
        <v/>
      </c>
      <c r="E16" s="8">
        <f>IF(Equipamentos!A8="","",Equipamentos!A8)</f>
        <v/>
      </c>
      <c r="F16" s="8">
        <f>IF(Equipamentos!A9="","",Equipamentos!A9)</f>
        <v/>
      </c>
      <c r="G16" s="8">
        <f>IF(Equipamentos!A10="","",Equipamentos!A10)</f>
        <v/>
      </c>
      <c r="H16" s="8" t="inlineStr">
        <is>
          <t>Total</t>
        </is>
      </c>
    </row>
    <row r="17">
      <c r="A17" s="28">
        <f>IF('Motivos de Parada'!A5="","",'Motivos de Parada'!A5)</f>
        <v/>
      </c>
      <c r="B17" s="29">
        <f>IF(OR($A17="",B$16=""),"",SUMIFS(Paradas!$F$5:$F$1004,Paradas!$E$5:$E$1004,$A17,Paradas!$B$5:$B$1004,B$16,Paradas!$A$5:$A$1004,"&gt;="&amp;$E$3,Paradas!$A$5:$A$1004,"&lt;="&amp;$G$3))</f>
        <v/>
      </c>
      <c r="C17" s="29">
        <f>IF(OR($A17="",C$16=""),"",SUMIFS(Paradas!$F$5:$F$1004,Paradas!$E$5:$E$1004,$A17,Paradas!$B$5:$B$1004,C$16,Paradas!$A$5:$A$1004,"&gt;="&amp;$E$3,Paradas!$A$5:$A$1004,"&lt;="&amp;$G$3))</f>
        <v/>
      </c>
      <c r="D17" s="29">
        <f>IF(OR($A17="",D$16=""),"",SUMIFS(Paradas!$F$5:$F$1004,Paradas!$E$5:$E$1004,$A17,Paradas!$B$5:$B$1004,D$16,Paradas!$A$5:$A$1004,"&gt;="&amp;$E$3,Paradas!$A$5:$A$1004,"&lt;="&amp;$G$3))</f>
        <v/>
      </c>
      <c r="E17" s="29">
        <f>IF(OR($A17="",E$16=""),"",SUMIFS(Paradas!$F$5:$F$1004,Paradas!$E$5:$E$1004,$A17,Paradas!$B$5:$B$1004,E$16,Paradas!$A$5:$A$1004,"&gt;="&amp;$E$3,Paradas!$A$5:$A$1004,"&lt;="&amp;$G$3))</f>
        <v/>
      </c>
      <c r="F17" s="29">
        <f>IF(OR($A17="",F$16=""),"",SUMIFS(Paradas!$F$5:$F$1004,Paradas!$E$5:$E$1004,$A17,Paradas!$B$5:$B$1004,F$16,Paradas!$A$5:$A$1004,"&gt;="&amp;$E$3,Paradas!$A$5:$A$1004,"&lt;="&amp;$G$3))</f>
        <v/>
      </c>
      <c r="G17" s="29">
        <f>IF(OR($A17="",G$16=""),"",SUMIFS(Paradas!$F$5:$F$1004,Paradas!$E$5:$E$1004,$A17,Paradas!$B$5:$B$1004,G$16,Paradas!$A$5:$A$1004,"&gt;="&amp;$E$3,Paradas!$A$5:$A$1004,"&lt;="&amp;$G$3))</f>
        <v/>
      </c>
      <c r="H17" s="29">
        <f>IF($A17="","",SUM(B17:G17))</f>
        <v/>
      </c>
    </row>
    <row r="18">
      <c r="A18" s="28">
        <f>IF('Motivos de Parada'!A6="","",'Motivos de Parada'!A6)</f>
        <v/>
      </c>
      <c r="B18" s="29">
        <f>IF(OR($A18="",B$16=""),"",SUMIFS(Paradas!$F$5:$F$1004,Paradas!$E$5:$E$1004,$A18,Paradas!$B$5:$B$1004,B$16,Paradas!$A$5:$A$1004,"&gt;="&amp;$E$3,Paradas!$A$5:$A$1004,"&lt;="&amp;$G$3))</f>
        <v/>
      </c>
      <c r="C18" s="29">
        <f>IF(OR($A18="",C$16=""),"",SUMIFS(Paradas!$F$5:$F$1004,Paradas!$E$5:$E$1004,$A18,Paradas!$B$5:$B$1004,C$16,Paradas!$A$5:$A$1004,"&gt;="&amp;$E$3,Paradas!$A$5:$A$1004,"&lt;="&amp;$G$3))</f>
        <v/>
      </c>
      <c r="D18" s="29">
        <f>IF(OR($A18="",D$16=""),"",SUMIFS(Paradas!$F$5:$F$1004,Paradas!$E$5:$E$1004,$A18,Paradas!$B$5:$B$1004,D$16,Paradas!$A$5:$A$1004,"&gt;="&amp;$E$3,Paradas!$A$5:$A$1004,"&lt;="&amp;$G$3))</f>
        <v/>
      </c>
      <c r="E18" s="29">
        <f>IF(OR($A18="",E$16=""),"",SUMIFS(Paradas!$F$5:$F$1004,Paradas!$E$5:$E$1004,$A18,Paradas!$B$5:$B$1004,E$16,Paradas!$A$5:$A$1004,"&gt;="&amp;$E$3,Paradas!$A$5:$A$1004,"&lt;="&amp;$G$3))</f>
        <v/>
      </c>
      <c r="F18" s="29">
        <f>IF(OR($A18="",F$16=""),"",SUMIFS(Paradas!$F$5:$F$1004,Paradas!$E$5:$E$1004,$A18,Paradas!$B$5:$B$1004,F$16,Paradas!$A$5:$A$1004,"&gt;="&amp;$E$3,Paradas!$A$5:$A$1004,"&lt;="&amp;$G$3))</f>
        <v/>
      </c>
      <c r="G18" s="29">
        <f>IF(OR($A18="",G$16=""),"",SUMIFS(Paradas!$F$5:$F$1004,Paradas!$E$5:$E$1004,$A18,Paradas!$B$5:$B$1004,G$16,Paradas!$A$5:$A$1004,"&gt;="&amp;$E$3,Paradas!$A$5:$A$1004,"&lt;="&amp;$G$3))</f>
        <v/>
      </c>
      <c r="H18" s="29">
        <f>IF($A18="","",SUM(B18:G18))</f>
        <v/>
      </c>
    </row>
    <row r="19">
      <c r="A19" s="28">
        <f>IF('Motivos de Parada'!A7="","",'Motivos de Parada'!A7)</f>
        <v/>
      </c>
      <c r="B19" s="29">
        <f>IF(OR($A19="",B$16=""),"",SUMIFS(Paradas!$F$5:$F$1004,Paradas!$E$5:$E$1004,$A19,Paradas!$B$5:$B$1004,B$16,Paradas!$A$5:$A$1004,"&gt;="&amp;$E$3,Paradas!$A$5:$A$1004,"&lt;="&amp;$G$3))</f>
        <v/>
      </c>
      <c r="C19" s="29">
        <f>IF(OR($A19="",C$16=""),"",SUMIFS(Paradas!$F$5:$F$1004,Paradas!$E$5:$E$1004,$A19,Paradas!$B$5:$B$1004,C$16,Paradas!$A$5:$A$1004,"&gt;="&amp;$E$3,Paradas!$A$5:$A$1004,"&lt;="&amp;$G$3))</f>
        <v/>
      </c>
      <c r="D19" s="29">
        <f>IF(OR($A19="",D$16=""),"",SUMIFS(Paradas!$F$5:$F$1004,Paradas!$E$5:$E$1004,$A19,Paradas!$B$5:$B$1004,D$16,Paradas!$A$5:$A$1004,"&gt;="&amp;$E$3,Paradas!$A$5:$A$1004,"&lt;="&amp;$G$3))</f>
        <v/>
      </c>
      <c r="E19" s="29">
        <f>IF(OR($A19="",E$16=""),"",SUMIFS(Paradas!$F$5:$F$1004,Paradas!$E$5:$E$1004,$A19,Paradas!$B$5:$B$1004,E$16,Paradas!$A$5:$A$1004,"&gt;="&amp;$E$3,Paradas!$A$5:$A$1004,"&lt;="&amp;$G$3))</f>
        <v/>
      </c>
      <c r="F19" s="29">
        <f>IF(OR($A19="",F$16=""),"",SUMIFS(Paradas!$F$5:$F$1004,Paradas!$E$5:$E$1004,$A19,Paradas!$B$5:$B$1004,F$16,Paradas!$A$5:$A$1004,"&gt;="&amp;$E$3,Paradas!$A$5:$A$1004,"&lt;="&amp;$G$3))</f>
        <v/>
      </c>
      <c r="G19" s="29">
        <f>IF(OR($A19="",G$16=""),"",SUMIFS(Paradas!$F$5:$F$1004,Paradas!$E$5:$E$1004,$A19,Paradas!$B$5:$B$1004,G$16,Paradas!$A$5:$A$1004,"&gt;="&amp;$E$3,Paradas!$A$5:$A$1004,"&lt;="&amp;$G$3))</f>
        <v/>
      </c>
      <c r="H19" s="29">
        <f>IF($A19="","",SUM(B19:G19))</f>
        <v/>
      </c>
    </row>
    <row r="20">
      <c r="A20" s="28">
        <f>IF('Motivos de Parada'!A8="","",'Motivos de Parada'!A8)</f>
        <v/>
      </c>
      <c r="B20" s="29">
        <f>IF(OR($A20="",B$16=""),"",SUMIFS(Paradas!$F$5:$F$1004,Paradas!$E$5:$E$1004,$A20,Paradas!$B$5:$B$1004,B$16,Paradas!$A$5:$A$1004,"&gt;="&amp;$E$3,Paradas!$A$5:$A$1004,"&lt;="&amp;$G$3))</f>
        <v/>
      </c>
      <c r="C20" s="29">
        <f>IF(OR($A20="",C$16=""),"",SUMIFS(Paradas!$F$5:$F$1004,Paradas!$E$5:$E$1004,$A20,Paradas!$B$5:$B$1004,C$16,Paradas!$A$5:$A$1004,"&gt;="&amp;$E$3,Paradas!$A$5:$A$1004,"&lt;="&amp;$G$3))</f>
        <v/>
      </c>
      <c r="D20" s="29">
        <f>IF(OR($A20="",D$16=""),"",SUMIFS(Paradas!$F$5:$F$1004,Paradas!$E$5:$E$1004,$A20,Paradas!$B$5:$B$1004,D$16,Paradas!$A$5:$A$1004,"&gt;="&amp;$E$3,Paradas!$A$5:$A$1004,"&lt;="&amp;$G$3))</f>
        <v/>
      </c>
      <c r="E20" s="29">
        <f>IF(OR($A20="",E$16=""),"",SUMIFS(Paradas!$F$5:$F$1004,Paradas!$E$5:$E$1004,$A20,Paradas!$B$5:$B$1004,E$16,Paradas!$A$5:$A$1004,"&gt;="&amp;$E$3,Paradas!$A$5:$A$1004,"&lt;="&amp;$G$3))</f>
        <v/>
      </c>
      <c r="F20" s="29">
        <f>IF(OR($A20="",F$16=""),"",SUMIFS(Paradas!$F$5:$F$1004,Paradas!$E$5:$E$1004,$A20,Paradas!$B$5:$B$1004,F$16,Paradas!$A$5:$A$1004,"&gt;="&amp;$E$3,Paradas!$A$5:$A$1004,"&lt;="&amp;$G$3))</f>
        <v/>
      </c>
      <c r="G20" s="29">
        <f>IF(OR($A20="",G$16=""),"",SUMIFS(Paradas!$F$5:$F$1004,Paradas!$E$5:$E$1004,$A20,Paradas!$B$5:$B$1004,G$16,Paradas!$A$5:$A$1004,"&gt;="&amp;$E$3,Paradas!$A$5:$A$1004,"&lt;="&amp;$G$3))</f>
        <v/>
      </c>
      <c r="H20" s="29">
        <f>IF($A20="","",SUM(B20:G20))</f>
        <v/>
      </c>
    </row>
    <row r="21">
      <c r="A21" s="28">
        <f>IF('Motivos de Parada'!A9="","",'Motivos de Parada'!A9)</f>
        <v/>
      </c>
      <c r="B21" s="29">
        <f>IF(OR($A21="",B$16=""),"",SUMIFS(Paradas!$F$5:$F$1004,Paradas!$E$5:$E$1004,$A21,Paradas!$B$5:$B$1004,B$16,Paradas!$A$5:$A$1004,"&gt;="&amp;$E$3,Paradas!$A$5:$A$1004,"&lt;="&amp;$G$3))</f>
        <v/>
      </c>
      <c r="C21" s="29">
        <f>IF(OR($A21="",C$16=""),"",SUMIFS(Paradas!$F$5:$F$1004,Paradas!$E$5:$E$1004,$A21,Paradas!$B$5:$B$1004,C$16,Paradas!$A$5:$A$1004,"&gt;="&amp;$E$3,Paradas!$A$5:$A$1004,"&lt;="&amp;$G$3))</f>
        <v/>
      </c>
      <c r="D21" s="29">
        <f>IF(OR($A21="",D$16=""),"",SUMIFS(Paradas!$F$5:$F$1004,Paradas!$E$5:$E$1004,$A21,Paradas!$B$5:$B$1004,D$16,Paradas!$A$5:$A$1004,"&gt;="&amp;$E$3,Paradas!$A$5:$A$1004,"&lt;="&amp;$G$3))</f>
        <v/>
      </c>
      <c r="E21" s="29">
        <f>IF(OR($A21="",E$16=""),"",SUMIFS(Paradas!$F$5:$F$1004,Paradas!$E$5:$E$1004,$A21,Paradas!$B$5:$B$1004,E$16,Paradas!$A$5:$A$1004,"&gt;="&amp;$E$3,Paradas!$A$5:$A$1004,"&lt;="&amp;$G$3))</f>
        <v/>
      </c>
      <c r="F21" s="29">
        <f>IF(OR($A21="",F$16=""),"",SUMIFS(Paradas!$F$5:$F$1004,Paradas!$E$5:$E$1004,$A21,Paradas!$B$5:$B$1004,F$16,Paradas!$A$5:$A$1004,"&gt;="&amp;$E$3,Paradas!$A$5:$A$1004,"&lt;="&amp;$G$3))</f>
        <v/>
      </c>
      <c r="G21" s="29">
        <f>IF(OR($A21="",G$16=""),"",SUMIFS(Paradas!$F$5:$F$1004,Paradas!$E$5:$E$1004,$A21,Paradas!$B$5:$B$1004,G$16,Paradas!$A$5:$A$1004,"&gt;="&amp;$E$3,Paradas!$A$5:$A$1004,"&lt;="&amp;$G$3))</f>
        <v/>
      </c>
      <c r="H21" s="29">
        <f>IF($A21="","",SUM(B21:G21))</f>
        <v/>
      </c>
    </row>
    <row r="22">
      <c r="A22" s="28">
        <f>IF('Motivos de Parada'!A10="","",'Motivos de Parada'!A10)</f>
        <v/>
      </c>
      <c r="B22" s="29">
        <f>IF(OR($A22="",B$16=""),"",SUMIFS(Paradas!$F$5:$F$1004,Paradas!$E$5:$E$1004,$A22,Paradas!$B$5:$B$1004,B$16,Paradas!$A$5:$A$1004,"&gt;="&amp;$E$3,Paradas!$A$5:$A$1004,"&lt;="&amp;$G$3))</f>
        <v/>
      </c>
      <c r="C22" s="29">
        <f>IF(OR($A22="",C$16=""),"",SUMIFS(Paradas!$F$5:$F$1004,Paradas!$E$5:$E$1004,$A22,Paradas!$B$5:$B$1004,C$16,Paradas!$A$5:$A$1004,"&gt;="&amp;$E$3,Paradas!$A$5:$A$1004,"&lt;="&amp;$G$3))</f>
        <v/>
      </c>
      <c r="D22" s="29">
        <f>IF(OR($A22="",D$16=""),"",SUMIFS(Paradas!$F$5:$F$1004,Paradas!$E$5:$E$1004,$A22,Paradas!$B$5:$B$1004,D$16,Paradas!$A$5:$A$1004,"&gt;="&amp;$E$3,Paradas!$A$5:$A$1004,"&lt;="&amp;$G$3))</f>
        <v/>
      </c>
      <c r="E22" s="29">
        <f>IF(OR($A22="",E$16=""),"",SUMIFS(Paradas!$F$5:$F$1004,Paradas!$E$5:$E$1004,$A22,Paradas!$B$5:$B$1004,E$16,Paradas!$A$5:$A$1004,"&gt;="&amp;$E$3,Paradas!$A$5:$A$1004,"&lt;="&amp;$G$3))</f>
        <v/>
      </c>
      <c r="F22" s="29">
        <f>IF(OR($A22="",F$16=""),"",SUMIFS(Paradas!$F$5:$F$1004,Paradas!$E$5:$E$1004,$A22,Paradas!$B$5:$B$1004,F$16,Paradas!$A$5:$A$1004,"&gt;="&amp;$E$3,Paradas!$A$5:$A$1004,"&lt;="&amp;$G$3))</f>
        <v/>
      </c>
      <c r="G22" s="29">
        <f>IF(OR($A22="",G$16=""),"",SUMIFS(Paradas!$F$5:$F$1004,Paradas!$E$5:$E$1004,$A22,Paradas!$B$5:$B$1004,G$16,Paradas!$A$5:$A$1004,"&gt;="&amp;$E$3,Paradas!$A$5:$A$1004,"&lt;="&amp;$G$3))</f>
        <v/>
      </c>
      <c r="H22" s="29">
        <f>IF($A22="","",SUM(B22:G22))</f>
        <v/>
      </c>
    </row>
    <row r="23">
      <c r="A23" s="28">
        <f>IF('Motivos de Parada'!A11="","",'Motivos de Parada'!A11)</f>
        <v/>
      </c>
      <c r="B23" s="29">
        <f>IF(OR($A23="",B$16=""),"",SUMIFS(Paradas!$F$5:$F$1004,Paradas!$E$5:$E$1004,$A23,Paradas!$B$5:$B$1004,B$16,Paradas!$A$5:$A$1004,"&gt;="&amp;$E$3,Paradas!$A$5:$A$1004,"&lt;="&amp;$G$3))</f>
        <v/>
      </c>
      <c r="C23" s="29">
        <f>IF(OR($A23="",C$16=""),"",SUMIFS(Paradas!$F$5:$F$1004,Paradas!$E$5:$E$1004,$A23,Paradas!$B$5:$B$1004,C$16,Paradas!$A$5:$A$1004,"&gt;="&amp;$E$3,Paradas!$A$5:$A$1004,"&lt;="&amp;$G$3))</f>
        <v/>
      </c>
      <c r="D23" s="29">
        <f>IF(OR($A23="",D$16=""),"",SUMIFS(Paradas!$F$5:$F$1004,Paradas!$E$5:$E$1004,$A23,Paradas!$B$5:$B$1004,D$16,Paradas!$A$5:$A$1004,"&gt;="&amp;$E$3,Paradas!$A$5:$A$1004,"&lt;="&amp;$G$3))</f>
        <v/>
      </c>
      <c r="E23" s="29">
        <f>IF(OR($A23="",E$16=""),"",SUMIFS(Paradas!$F$5:$F$1004,Paradas!$E$5:$E$1004,$A23,Paradas!$B$5:$B$1004,E$16,Paradas!$A$5:$A$1004,"&gt;="&amp;$E$3,Paradas!$A$5:$A$1004,"&lt;="&amp;$G$3))</f>
        <v/>
      </c>
      <c r="F23" s="29">
        <f>IF(OR($A23="",F$16=""),"",SUMIFS(Paradas!$F$5:$F$1004,Paradas!$E$5:$E$1004,$A23,Paradas!$B$5:$B$1004,F$16,Paradas!$A$5:$A$1004,"&gt;="&amp;$E$3,Paradas!$A$5:$A$1004,"&lt;="&amp;$G$3))</f>
        <v/>
      </c>
      <c r="G23" s="29">
        <f>IF(OR($A23="",G$16=""),"",SUMIFS(Paradas!$F$5:$F$1004,Paradas!$E$5:$E$1004,$A23,Paradas!$B$5:$B$1004,G$16,Paradas!$A$5:$A$1004,"&gt;="&amp;$E$3,Paradas!$A$5:$A$1004,"&lt;="&amp;$G$3))</f>
        <v/>
      </c>
      <c r="H23" s="29">
        <f>IF($A23="","",SUM(B23:G23))</f>
        <v/>
      </c>
    </row>
    <row r="24">
      <c r="A24" s="28">
        <f>IF('Motivos de Parada'!A12="","",'Motivos de Parada'!A12)</f>
        <v/>
      </c>
      <c r="B24" s="29">
        <f>IF(OR($A24="",B$16=""),"",SUMIFS(Paradas!$F$5:$F$1004,Paradas!$E$5:$E$1004,$A24,Paradas!$B$5:$B$1004,B$16,Paradas!$A$5:$A$1004,"&gt;="&amp;$E$3,Paradas!$A$5:$A$1004,"&lt;="&amp;$G$3))</f>
        <v/>
      </c>
      <c r="C24" s="29">
        <f>IF(OR($A24="",C$16=""),"",SUMIFS(Paradas!$F$5:$F$1004,Paradas!$E$5:$E$1004,$A24,Paradas!$B$5:$B$1004,C$16,Paradas!$A$5:$A$1004,"&gt;="&amp;$E$3,Paradas!$A$5:$A$1004,"&lt;="&amp;$G$3))</f>
        <v/>
      </c>
      <c r="D24" s="29">
        <f>IF(OR($A24="",D$16=""),"",SUMIFS(Paradas!$F$5:$F$1004,Paradas!$E$5:$E$1004,$A24,Paradas!$B$5:$B$1004,D$16,Paradas!$A$5:$A$1004,"&gt;="&amp;$E$3,Paradas!$A$5:$A$1004,"&lt;="&amp;$G$3))</f>
        <v/>
      </c>
      <c r="E24" s="29">
        <f>IF(OR($A24="",E$16=""),"",SUMIFS(Paradas!$F$5:$F$1004,Paradas!$E$5:$E$1004,$A24,Paradas!$B$5:$B$1004,E$16,Paradas!$A$5:$A$1004,"&gt;="&amp;$E$3,Paradas!$A$5:$A$1004,"&lt;="&amp;$G$3))</f>
        <v/>
      </c>
      <c r="F24" s="29">
        <f>IF(OR($A24="",F$16=""),"",SUMIFS(Paradas!$F$5:$F$1004,Paradas!$E$5:$E$1004,$A24,Paradas!$B$5:$B$1004,F$16,Paradas!$A$5:$A$1004,"&gt;="&amp;$E$3,Paradas!$A$5:$A$1004,"&lt;="&amp;$G$3))</f>
        <v/>
      </c>
      <c r="G24" s="29">
        <f>IF(OR($A24="",G$16=""),"",SUMIFS(Paradas!$F$5:$F$1004,Paradas!$E$5:$E$1004,$A24,Paradas!$B$5:$B$1004,G$16,Paradas!$A$5:$A$1004,"&gt;="&amp;$E$3,Paradas!$A$5:$A$1004,"&lt;="&amp;$G$3))</f>
        <v/>
      </c>
      <c r="H24" s="29">
        <f>IF($A24="","",SUM(B24:G24))</f>
        <v/>
      </c>
    </row>
    <row r="25">
      <c r="A25" s="28">
        <f>IF('Motivos de Parada'!A13="","",'Motivos de Parada'!A13)</f>
        <v/>
      </c>
      <c r="B25" s="29">
        <f>IF(OR($A25="",B$16=""),"",SUMIFS(Paradas!$F$5:$F$1004,Paradas!$E$5:$E$1004,$A25,Paradas!$B$5:$B$1004,B$16,Paradas!$A$5:$A$1004,"&gt;="&amp;$E$3,Paradas!$A$5:$A$1004,"&lt;="&amp;$G$3))</f>
        <v/>
      </c>
      <c r="C25" s="29">
        <f>IF(OR($A25="",C$16=""),"",SUMIFS(Paradas!$F$5:$F$1004,Paradas!$E$5:$E$1004,$A25,Paradas!$B$5:$B$1004,C$16,Paradas!$A$5:$A$1004,"&gt;="&amp;$E$3,Paradas!$A$5:$A$1004,"&lt;="&amp;$G$3))</f>
        <v/>
      </c>
      <c r="D25" s="29">
        <f>IF(OR($A25="",D$16=""),"",SUMIFS(Paradas!$F$5:$F$1004,Paradas!$E$5:$E$1004,$A25,Paradas!$B$5:$B$1004,D$16,Paradas!$A$5:$A$1004,"&gt;="&amp;$E$3,Paradas!$A$5:$A$1004,"&lt;="&amp;$G$3))</f>
        <v/>
      </c>
      <c r="E25" s="29">
        <f>IF(OR($A25="",E$16=""),"",SUMIFS(Paradas!$F$5:$F$1004,Paradas!$E$5:$E$1004,$A25,Paradas!$B$5:$B$1004,E$16,Paradas!$A$5:$A$1004,"&gt;="&amp;$E$3,Paradas!$A$5:$A$1004,"&lt;="&amp;$G$3))</f>
        <v/>
      </c>
      <c r="F25" s="29">
        <f>IF(OR($A25="",F$16=""),"",SUMIFS(Paradas!$F$5:$F$1004,Paradas!$E$5:$E$1004,$A25,Paradas!$B$5:$B$1004,F$16,Paradas!$A$5:$A$1004,"&gt;="&amp;$E$3,Paradas!$A$5:$A$1004,"&lt;="&amp;$G$3))</f>
        <v/>
      </c>
      <c r="G25" s="29">
        <f>IF(OR($A25="",G$16=""),"",SUMIFS(Paradas!$F$5:$F$1004,Paradas!$E$5:$E$1004,$A25,Paradas!$B$5:$B$1004,G$16,Paradas!$A$5:$A$1004,"&gt;="&amp;$E$3,Paradas!$A$5:$A$1004,"&lt;="&amp;$G$3))</f>
        <v/>
      </c>
      <c r="H25" s="29">
        <f>IF($A25="","",SUM(B25:G25))</f>
        <v/>
      </c>
    </row>
    <row r="26">
      <c r="A26" s="28">
        <f>IF('Motivos de Parada'!A14="","",'Motivos de Parada'!A14)</f>
        <v/>
      </c>
      <c r="B26" s="29">
        <f>IF(OR($A26="",B$16=""),"",SUMIFS(Paradas!$F$5:$F$1004,Paradas!$E$5:$E$1004,$A26,Paradas!$B$5:$B$1004,B$16,Paradas!$A$5:$A$1004,"&gt;="&amp;$E$3,Paradas!$A$5:$A$1004,"&lt;="&amp;$G$3))</f>
        <v/>
      </c>
      <c r="C26" s="29">
        <f>IF(OR($A26="",C$16=""),"",SUMIFS(Paradas!$F$5:$F$1004,Paradas!$E$5:$E$1004,$A26,Paradas!$B$5:$B$1004,C$16,Paradas!$A$5:$A$1004,"&gt;="&amp;$E$3,Paradas!$A$5:$A$1004,"&lt;="&amp;$G$3))</f>
        <v/>
      </c>
      <c r="D26" s="29">
        <f>IF(OR($A26="",D$16=""),"",SUMIFS(Paradas!$F$5:$F$1004,Paradas!$E$5:$E$1004,$A26,Paradas!$B$5:$B$1004,D$16,Paradas!$A$5:$A$1004,"&gt;="&amp;$E$3,Paradas!$A$5:$A$1004,"&lt;="&amp;$G$3))</f>
        <v/>
      </c>
      <c r="E26" s="29">
        <f>IF(OR($A26="",E$16=""),"",SUMIFS(Paradas!$F$5:$F$1004,Paradas!$E$5:$E$1004,$A26,Paradas!$B$5:$B$1004,E$16,Paradas!$A$5:$A$1004,"&gt;="&amp;$E$3,Paradas!$A$5:$A$1004,"&lt;="&amp;$G$3))</f>
        <v/>
      </c>
      <c r="F26" s="29">
        <f>IF(OR($A26="",F$16=""),"",SUMIFS(Paradas!$F$5:$F$1004,Paradas!$E$5:$E$1004,$A26,Paradas!$B$5:$B$1004,F$16,Paradas!$A$5:$A$1004,"&gt;="&amp;$E$3,Paradas!$A$5:$A$1004,"&lt;="&amp;$G$3))</f>
        <v/>
      </c>
      <c r="G26" s="29">
        <f>IF(OR($A26="",G$16=""),"",SUMIFS(Paradas!$F$5:$F$1004,Paradas!$E$5:$E$1004,$A26,Paradas!$B$5:$B$1004,G$16,Paradas!$A$5:$A$1004,"&gt;="&amp;$E$3,Paradas!$A$5:$A$1004,"&lt;="&amp;$G$3))</f>
        <v/>
      </c>
      <c r="H26" s="29">
        <f>IF($A26="","",SUM(B26:G26))</f>
        <v/>
      </c>
    </row>
    <row r="27">
      <c r="A27" s="28">
        <f>IF('Motivos de Parada'!A15="","",'Motivos de Parada'!A15)</f>
        <v/>
      </c>
      <c r="B27" s="29">
        <f>IF(OR($A27="",B$16=""),"",SUMIFS(Paradas!$F$5:$F$1004,Paradas!$E$5:$E$1004,$A27,Paradas!$B$5:$B$1004,B$16,Paradas!$A$5:$A$1004,"&gt;="&amp;$E$3,Paradas!$A$5:$A$1004,"&lt;="&amp;$G$3))</f>
        <v/>
      </c>
      <c r="C27" s="29">
        <f>IF(OR($A27="",C$16=""),"",SUMIFS(Paradas!$F$5:$F$1004,Paradas!$E$5:$E$1004,$A27,Paradas!$B$5:$B$1004,C$16,Paradas!$A$5:$A$1004,"&gt;="&amp;$E$3,Paradas!$A$5:$A$1004,"&lt;="&amp;$G$3))</f>
        <v/>
      </c>
      <c r="D27" s="29">
        <f>IF(OR($A27="",D$16=""),"",SUMIFS(Paradas!$F$5:$F$1004,Paradas!$E$5:$E$1004,$A27,Paradas!$B$5:$B$1004,D$16,Paradas!$A$5:$A$1004,"&gt;="&amp;$E$3,Paradas!$A$5:$A$1004,"&lt;="&amp;$G$3))</f>
        <v/>
      </c>
      <c r="E27" s="29">
        <f>IF(OR($A27="",E$16=""),"",SUMIFS(Paradas!$F$5:$F$1004,Paradas!$E$5:$E$1004,$A27,Paradas!$B$5:$B$1004,E$16,Paradas!$A$5:$A$1004,"&gt;="&amp;$E$3,Paradas!$A$5:$A$1004,"&lt;="&amp;$G$3))</f>
        <v/>
      </c>
      <c r="F27" s="29">
        <f>IF(OR($A27="",F$16=""),"",SUMIFS(Paradas!$F$5:$F$1004,Paradas!$E$5:$E$1004,$A27,Paradas!$B$5:$B$1004,F$16,Paradas!$A$5:$A$1004,"&gt;="&amp;$E$3,Paradas!$A$5:$A$1004,"&lt;="&amp;$G$3))</f>
        <v/>
      </c>
      <c r="G27" s="29">
        <f>IF(OR($A27="",G$16=""),"",SUMIFS(Paradas!$F$5:$F$1004,Paradas!$E$5:$E$1004,$A27,Paradas!$B$5:$B$1004,G$16,Paradas!$A$5:$A$1004,"&gt;="&amp;$E$3,Paradas!$A$5:$A$1004,"&lt;="&amp;$G$3))</f>
        <v/>
      </c>
      <c r="H27" s="29">
        <f>IF($A27="","",SUM(B27:G27))</f>
        <v/>
      </c>
    </row>
    <row r="28">
      <c r="A28" s="28">
        <f>IF('Motivos de Parada'!A16="","",'Motivos de Parada'!A16)</f>
        <v/>
      </c>
      <c r="B28" s="29">
        <f>IF(OR($A28="",B$16=""),"",SUMIFS(Paradas!$F$5:$F$1004,Paradas!$E$5:$E$1004,$A28,Paradas!$B$5:$B$1004,B$16,Paradas!$A$5:$A$1004,"&gt;="&amp;$E$3,Paradas!$A$5:$A$1004,"&lt;="&amp;$G$3))</f>
        <v/>
      </c>
      <c r="C28" s="29">
        <f>IF(OR($A28="",C$16=""),"",SUMIFS(Paradas!$F$5:$F$1004,Paradas!$E$5:$E$1004,$A28,Paradas!$B$5:$B$1004,C$16,Paradas!$A$5:$A$1004,"&gt;="&amp;$E$3,Paradas!$A$5:$A$1004,"&lt;="&amp;$G$3))</f>
        <v/>
      </c>
      <c r="D28" s="29">
        <f>IF(OR($A28="",D$16=""),"",SUMIFS(Paradas!$F$5:$F$1004,Paradas!$E$5:$E$1004,$A28,Paradas!$B$5:$B$1004,D$16,Paradas!$A$5:$A$1004,"&gt;="&amp;$E$3,Paradas!$A$5:$A$1004,"&lt;="&amp;$G$3))</f>
        <v/>
      </c>
      <c r="E28" s="29">
        <f>IF(OR($A28="",E$16=""),"",SUMIFS(Paradas!$F$5:$F$1004,Paradas!$E$5:$E$1004,$A28,Paradas!$B$5:$B$1004,E$16,Paradas!$A$5:$A$1004,"&gt;="&amp;$E$3,Paradas!$A$5:$A$1004,"&lt;="&amp;$G$3))</f>
        <v/>
      </c>
      <c r="F28" s="29">
        <f>IF(OR($A28="",F$16=""),"",SUMIFS(Paradas!$F$5:$F$1004,Paradas!$E$5:$E$1004,$A28,Paradas!$B$5:$B$1004,F$16,Paradas!$A$5:$A$1004,"&gt;="&amp;$E$3,Paradas!$A$5:$A$1004,"&lt;="&amp;$G$3))</f>
        <v/>
      </c>
      <c r="G28" s="29">
        <f>IF(OR($A28="",G$16=""),"",SUMIFS(Paradas!$F$5:$F$1004,Paradas!$E$5:$E$1004,$A28,Paradas!$B$5:$B$1004,G$16,Paradas!$A$5:$A$1004,"&gt;="&amp;$E$3,Paradas!$A$5:$A$1004,"&lt;="&amp;$G$3))</f>
        <v/>
      </c>
      <c r="H28" s="29">
        <f>IF($A28="","",SUM(B28:G28))</f>
        <v/>
      </c>
    </row>
    <row r="29">
      <c r="A29" s="28">
        <f>IF('Motivos de Parada'!A17="","",'Motivos de Parada'!A17)</f>
        <v/>
      </c>
      <c r="B29" s="29">
        <f>IF(OR($A29="",B$16=""),"",SUMIFS(Paradas!$F$5:$F$1004,Paradas!$E$5:$E$1004,$A29,Paradas!$B$5:$B$1004,B$16,Paradas!$A$5:$A$1004,"&gt;="&amp;$E$3,Paradas!$A$5:$A$1004,"&lt;="&amp;$G$3))</f>
        <v/>
      </c>
      <c r="C29" s="29">
        <f>IF(OR($A29="",C$16=""),"",SUMIFS(Paradas!$F$5:$F$1004,Paradas!$E$5:$E$1004,$A29,Paradas!$B$5:$B$1004,C$16,Paradas!$A$5:$A$1004,"&gt;="&amp;$E$3,Paradas!$A$5:$A$1004,"&lt;="&amp;$G$3))</f>
        <v/>
      </c>
      <c r="D29" s="29">
        <f>IF(OR($A29="",D$16=""),"",SUMIFS(Paradas!$F$5:$F$1004,Paradas!$E$5:$E$1004,$A29,Paradas!$B$5:$B$1004,D$16,Paradas!$A$5:$A$1004,"&gt;="&amp;$E$3,Paradas!$A$5:$A$1004,"&lt;="&amp;$G$3))</f>
        <v/>
      </c>
      <c r="E29" s="29">
        <f>IF(OR($A29="",E$16=""),"",SUMIFS(Paradas!$F$5:$F$1004,Paradas!$E$5:$E$1004,$A29,Paradas!$B$5:$B$1004,E$16,Paradas!$A$5:$A$1004,"&gt;="&amp;$E$3,Paradas!$A$5:$A$1004,"&lt;="&amp;$G$3))</f>
        <v/>
      </c>
      <c r="F29" s="29">
        <f>IF(OR($A29="",F$16=""),"",SUMIFS(Paradas!$F$5:$F$1004,Paradas!$E$5:$E$1004,$A29,Paradas!$B$5:$B$1004,F$16,Paradas!$A$5:$A$1004,"&gt;="&amp;$E$3,Paradas!$A$5:$A$1004,"&lt;="&amp;$G$3))</f>
        <v/>
      </c>
      <c r="G29" s="29">
        <f>IF(OR($A29="",G$16=""),"",SUMIFS(Paradas!$F$5:$F$1004,Paradas!$E$5:$E$1004,$A29,Paradas!$B$5:$B$1004,G$16,Paradas!$A$5:$A$1004,"&gt;="&amp;$E$3,Paradas!$A$5:$A$1004,"&lt;="&amp;$G$3))</f>
        <v/>
      </c>
      <c r="H29" s="29">
        <f>IF($A29="","",SUM(B29:G29))</f>
        <v/>
      </c>
    </row>
    <row r="30">
      <c r="A30" s="28">
        <f>IF('Motivos de Parada'!A18="","",'Motivos de Parada'!A18)</f>
        <v/>
      </c>
      <c r="B30" s="29">
        <f>IF(OR($A30="",B$16=""),"",SUMIFS(Paradas!$F$5:$F$1004,Paradas!$E$5:$E$1004,$A30,Paradas!$B$5:$B$1004,B$16,Paradas!$A$5:$A$1004,"&gt;="&amp;$E$3,Paradas!$A$5:$A$1004,"&lt;="&amp;$G$3))</f>
        <v/>
      </c>
      <c r="C30" s="29">
        <f>IF(OR($A30="",C$16=""),"",SUMIFS(Paradas!$F$5:$F$1004,Paradas!$E$5:$E$1004,$A30,Paradas!$B$5:$B$1004,C$16,Paradas!$A$5:$A$1004,"&gt;="&amp;$E$3,Paradas!$A$5:$A$1004,"&lt;="&amp;$G$3))</f>
        <v/>
      </c>
      <c r="D30" s="29">
        <f>IF(OR($A30="",D$16=""),"",SUMIFS(Paradas!$F$5:$F$1004,Paradas!$E$5:$E$1004,$A30,Paradas!$B$5:$B$1004,D$16,Paradas!$A$5:$A$1004,"&gt;="&amp;$E$3,Paradas!$A$5:$A$1004,"&lt;="&amp;$G$3))</f>
        <v/>
      </c>
      <c r="E30" s="29">
        <f>IF(OR($A30="",E$16=""),"",SUMIFS(Paradas!$F$5:$F$1004,Paradas!$E$5:$E$1004,$A30,Paradas!$B$5:$B$1004,E$16,Paradas!$A$5:$A$1004,"&gt;="&amp;$E$3,Paradas!$A$5:$A$1004,"&lt;="&amp;$G$3))</f>
        <v/>
      </c>
      <c r="F30" s="29">
        <f>IF(OR($A30="",F$16=""),"",SUMIFS(Paradas!$F$5:$F$1004,Paradas!$E$5:$E$1004,$A30,Paradas!$B$5:$B$1004,F$16,Paradas!$A$5:$A$1004,"&gt;="&amp;$E$3,Paradas!$A$5:$A$1004,"&lt;="&amp;$G$3))</f>
        <v/>
      </c>
      <c r="G30" s="29">
        <f>IF(OR($A30="",G$16=""),"",SUMIFS(Paradas!$F$5:$F$1004,Paradas!$E$5:$E$1004,$A30,Paradas!$B$5:$B$1004,G$16,Paradas!$A$5:$A$1004,"&gt;="&amp;$E$3,Paradas!$A$5:$A$1004,"&lt;="&amp;$G$3))</f>
        <v/>
      </c>
      <c r="H30" s="29">
        <f>IF($A30="","",SUM(B30:G30))</f>
        <v/>
      </c>
    </row>
    <row r="31">
      <c r="A31" s="28">
        <f>IF('Motivos de Parada'!A19="","",'Motivos de Parada'!A19)</f>
        <v/>
      </c>
      <c r="B31" s="29">
        <f>IF(OR($A31="",B$16=""),"",SUMIFS(Paradas!$F$5:$F$1004,Paradas!$E$5:$E$1004,$A31,Paradas!$B$5:$B$1004,B$16,Paradas!$A$5:$A$1004,"&gt;="&amp;$E$3,Paradas!$A$5:$A$1004,"&lt;="&amp;$G$3))</f>
        <v/>
      </c>
      <c r="C31" s="29">
        <f>IF(OR($A31="",C$16=""),"",SUMIFS(Paradas!$F$5:$F$1004,Paradas!$E$5:$E$1004,$A31,Paradas!$B$5:$B$1004,C$16,Paradas!$A$5:$A$1004,"&gt;="&amp;$E$3,Paradas!$A$5:$A$1004,"&lt;="&amp;$G$3))</f>
        <v/>
      </c>
      <c r="D31" s="29">
        <f>IF(OR($A31="",D$16=""),"",SUMIFS(Paradas!$F$5:$F$1004,Paradas!$E$5:$E$1004,$A31,Paradas!$B$5:$B$1004,D$16,Paradas!$A$5:$A$1004,"&gt;="&amp;$E$3,Paradas!$A$5:$A$1004,"&lt;="&amp;$G$3))</f>
        <v/>
      </c>
      <c r="E31" s="29">
        <f>IF(OR($A31="",E$16=""),"",SUMIFS(Paradas!$F$5:$F$1004,Paradas!$E$5:$E$1004,$A31,Paradas!$B$5:$B$1004,E$16,Paradas!$A$5:$A$1004,"&gt;="&amp;$E$3,Paradas!$A$5:$A$1004,"&lt;="&amp;$G$3))</f>
        <v/>
      </c>
      <c r="F31" s="29">
        <f>IF(OR($A31="",F$16=""),"",SUMIFS(Paradas!$F$5:$F$1004,Paradas!$E$5:$E$1004,$A31,Paradas!$B$5:$B$1004,F$16,Paradas!$A$5:$A$1004,"&gt;="&amp;$E$3,Paradas!$A$5:$A$1004,"&lt;="&amp;$G$3))</f>
        <v/>
      </c>
      <c r="G31" s="29">
        <f>IF(OR($A31="",G$16=""),"",SUMIFS(Paradas!$F$5:$F$1004,Paradas!$E$5:$E$1004,$A31,Paradas!$B$5:$B$1004,G$16,Paradas!$A$5:$A$1004,"&gt;="&amp;$E$3,Paradas!$A$5:$A$1004,"&lt;="&amp;$G$3))</f>
        <v/>
      </c>
      <c r="H31" s="29">
        <f>IF($A31="","",SUM(B31:G31))</f>
        <v/>
      </c>
    </row>
    <row r="32">
      <c r="A32" s="28">
        <f>IF('Motivos de Parada'!A20="","",'Motivos de Parada'!A20)</f>
        <v/>
      </c>
      <c r="B32" s="29">
        <f>IF(OR($A32="",B$16=""),"",SUMIFS(Paradas!$F$5:$F$1004,Paradas!$E$5:$E$1004,$A32,Paradas!$B$5:$B$1004,B$16,Paradas!$A$5:$A$1004,"&gt;="&amp;$E$3,Paradas!$A$5:$A$1004,"&lt;="&amp;$G$3))</f>
        <v/>
      </c>
      <c r="C32" s="29">
        <f>IF(OR($A32="",C$16=""),"",SUMIFS(Paradas!$F$5:$F$1004,Paradas!$E$5:$E$1004,$A32,Paradas!$B$5:$B$1004,C$16,Paradas!$A$5:$A$1004,"&gt;="&amp;$E$3,Paradas!$A$5:$A$1004,"&lt;="&amp;$G$3))</f>
        <v/>
      </c>
      <c r="D32" s="29">
        <f>IF(OR($A32="",D$16=""),"",SUMIFS(Paradas!$F$5:$F$1004,Paradas!$E$5:$E$1004,$A32,Paradas!$B$5:$B$1004,D$16,Paradas!$A$5:$A$1004,"&gt;="&amp;$E$3,Paradas!$A$5:$A$1004,"&lt;="&amp;$G$3))</f>
        <v/>
      </c>
      <c r="E32" s="29">
        <f>IF(OR($A32="",E$16=""),"",SUMIFS(Paradas!$F$5:$F$1004,Paradas!$E$5:$E$1004,$A32,Paradas!$B$5:$B$1004,E$16,Paradas!$A$5:$A$1004,"&gt;="&amp;$E$3,Paradas!$A$5:$A$1004,"&lt;="&amp;$G$3))</f>
        <v/>
      </c>
      <c r="F32" s="29">
        <f>IF(OR($A32="",F$16=""),"",SUMIFS(Paradas!$F$5:$F$1004,Paradas!$E$5:$E$1004,$A32,Paradas!$B$5:$B$1004,F$16,Paradas!$A$5:$A$1004,"&gt;="&amp;$E$3,Paradas!$A$5:$A$1004,"&lt;="&amp;$G$3))</f>
        <v/>
      </c>
      <c r="G32" s="29">
        <f>IF(OR($A32="",G$16=""),"",SUMIFS(Paradas!$F$5:$F$1004,Paradas!$E$5:$E$1004,$A32,Paradas!$B$5:$B$1004,G$16,Paradas!$A$5:$A$1004,"&gt;="&amp;$E$3,Paradas!$A$5:$A$1004,"&lt;="&amp;$G$3))</f>
        <v/>
      </c>
      <c r="H32" s="29">
        <f>IF($A32="","",SUM(B32:G32))</f>
        <v/>
      </c>
    </row>
    <row r="33">
      <c r="A33" s="28">
        <f>IF('Motivos de Parada'!A21="","",'Motivos de Parada'!A21)</f>
        <v/>
      </c>
      <c r="B33" s="29">
        <f>IF(OR($A33="",B$16=""),"",SUMIFS(Paradas!$F$5:$F$1004,Paradas!$E$5:$E$1004,$A33,Paradas!$B$5:$B$1004,B$16,Paradas!$A$5:$A$1004,"&gt;="&amp;$E$3,Paradas!$A$5:$A$1004,"&lt;="&amp;$G$3))</f>
        <v/>
      </c>
      <c r="C33" s="29">
        <f>IF(OR($A33="",C$16=""),"",SUMIFS(Paradas!$F$5:$F$1004,Paradas!$E$5:$E$1004,$A33,Paradas!$B$5:$B$1004,C$16,Paradas!$A$5:$A$1004,"&gt;="&amp;$E$3,Paradas!$A$5:$A$1004,"&lt;="&amp;$G$3))</f>
        <v/>
      </c>
      <c r="D33" s="29">
        <f>IF(OR($A33="",D$16=""),"",SUMIFS(Paradas!$F$5:$F$1004,Paradas!$E$5:$E$1004,$A33,Paradas!$B$5:$B$1004,D$16,Paradas!$A$5:$A$1004,"&gt;="&amp;$E$3,Paradas!$A$5:$A$1004,"&lt;="&amp;$G$3))</f>
        <v/>
      </c>
      <c r="E33" s="29">
        <f>IF(OR($A33="",E$16=""),"",SUMIFS(Paradas!$F$5:$F$1004,Paradas!$E$5:$E$1004,$A33,Paradas!$B$5:$B$1004,E$16,Paradas!$A$5:$A$1004,"&gt;="&amp;$E$3,Paradas!$A$5:$A$1004,"&lt;="&amp;$G$3))</f>
        <v/>
      </c>
      <c r="F33" s="29">
        <f>IF(OR($A33="",F$16=""),"",SUMIFS(Paradas!$F$5:$F$1004,Paradas!$E$5:$E$1004,$A33,Paradas!$B$5:$B$1004,F$16,Paradas!$A$5:$A$1004,"&gt;="&amp;$E$3,Paradas!$A$5:$A$1004,"&lt;="&amp;$G$3))</f>
        <v/>
      </c>
      <c r="G33" s="29">
        <f>IF(OR($A33="",G$16=""),"",SUMIFS(Paradas!$F$5:$F$1004,Paradas!$E$5:$E$1004,$A33,Paradas!$B$5:$B$1004,G$16,Paradas!$A$5:$A$1004,"&gt;="&amp;$E$3,Paradas!$A$5:$A$1004,"&lt;="&amp;$G$3))</f>
        <v/>
      </c>
      <c r="H33" s="29">
        <f>IF($A33="","",SUM(B33:G33))</f>
        <v/>
      </c>
    </row>
    <row r="34">
      <c r="A34" s="28">
        <f>IF('Motivos de Parada'!A22="","",'Motivos de Parada'!A22)</f>
        <v/>
      </c>
      <c r="B34" s="29">
        <f>IF(OR($A34="",B$16=""),"",SUMIFS(Paradas!$F$5:$F$1004,Paradas!$E$5:$E$1004,$A34,Paradas!$B$5:$B$1004,B$16,Paradas!$A$5:$A$1004,"&gt;="&amp;$E$3,Paradas!$A$5:$A$1004,"&lt;="&amp;$G$3))</f>
        <v/>
      </c>
      <c r="C34" s="29">
        <f>IF(OR($A34="",C$16=""),"",SUMIFS(Paradas!$F$5:$F$1004,Paradas!$E$5:$E$1004,$A34,Paradas!$B$5:$B$1004,C$16,Paradas!$A$5:$A$1004,"&gt;="&amp;$E$3,Paradas!$A$5:$A$1004,"&lt;="&amp;$G$3))</f>
        <v/>
      </c>
      <c r="D34" s="29">
        <f>IF(OR($A34="",D$16=""),"",SUMIFS(Paradas!$F$5:$F$1004,Paradas!$E$5:$E$1004,$A34,Paradas!$B$5:$B$1004,D$16,Paradas!$A$5:$A$1004,"&gt;="&amp;$E$3,Paradas!$A$5:$A$1004,"&lt;="&amp;$G$3))</f>
        <v/>
      </c>
      <c r="E34" s="29">
        <f>IF(OR($A34="",E$16=""),"",SUMIFS(Paradas!$F$5:$F$1004,Paradas!$E$5:$E$1004,$A34,Paradas!$B$5:$B$1004,E$16,Paradas!$A$5:$A$1004,"&gt;="&amp;$E$3,Paradas!$A$5:$A$1004,"&lt;="&amp;$G$3))</f>
        <v/>
      </c>
      <c r="F34" s="29">
        <f>IF(OR($A34="",F$16=""),"",SUMIFS(Paradas!$F$5:$F$1004,Paradas!$E$5:$E$1004,$A34,Paradas!$B$5:$B$1004,F$16,Paradas!$A$5:$A$1004,"&gt;="&amp;$E$3,Paradas!$A$5:$A$1004,"&lt;="&amp;$G$3))</f>
        <v/>
      </c>
      <c r="G34" s="29">
        <f>IF(OR($A34="",G$16=""),"",SUMIFS(Paradas!$F$5:$F$1004,Paradas!$E$5:$E$1004,$A34,Paradas!$B$5:$B$1004,G$16,Paradas!$A$5:$A$1004,"&gt;="&amp;$E$3,Paradas!$A$5:$A$1004,"&lt;="&amp;$G$3))</f>
        <v/>
      </c>
      <c r="H34" s="29">
        <f>IF($A34="","",SUM(B34:G34))</f>
        <v/>
      </c>
    </row>
    <row r="35">
      <c r="A35" s="28">
        <f>IF('Motivos de Parada'!A23="","",'Motivos de Parada'!A23)</f>
        <v/>
      </c>
      <c r="B35" s="29">
        <f>IF(OR($A35="",B$16=""),"",SUMIFS(Paradas!$F$5:$F$1004,Paradas!$E$5:$E$1004,$A35,Paradas!$B$5:$B$1004,B$16,Paradas!$A$5:$A$1004,"&gt;="&amp;$E$3,Paradas!$A$5:$A$1004,"&lt;="&amp;$G$3))</f>
        <v/>
      </c>
      <c r="C35" s="29">
        <f>IF(OR($A35="",C$16=""),"",SUMIFS(Paradas!$F$5:$F$1004,Paradas!$E$5:$E$1004,$A35,Paradas!$B$5:$B$1004,C$16,Paradas!$A$5:$A$1004,"&gt;="&amp;$E$3,Paradas!$A$5:$A$1004,"&lt;="&amp;$G$3))</f>
        <v/>
      </c>
      <c r="D35" s="29">
        <f>IF(OR($A35="",D$16=""),"",SUMIFS(Paradas!$F$5:$F$1004,Paradas!$E$5:$E$1004,$A35,Paradas!$B$5:$B$1004,D$16,Paradas!$A$5:$A$1004,"&gt;="&amp;$E$3,Paradas!$A$5:$A$1004,"&lt;="&amp;$G$3))</f>
        <v/>
      </c>
      <c r="E35" s="29">
        <f>IF(OR($A35="",E$16=""),"",SUMIFS(Paradas!$F$5:$F$1004,Paradas!$E$5:$E$1004,$A35,Paradas!$B$5:$B$1004,E$16,Paradas!$A$5:$A$1004,"&gt;="&amp;$E$3,Paradas!$A$5:$A$1004,"&lt;="&amp;$G$3))</f>
        <v/>
      </c>
      <c r="F35" s="29">
        <f>IF(OR($A35="",F$16=""),"",SUMIFS(Paradas!$F$5:$F$1004,Paradas!$E$5:$E$1004,$A35,Paradas!$B$5:$B$1004,F$16,Paradas!$A$5:$A$1004,"&gt;="&amp;$E$3,Paradas!$A$5:$A$1004,"&lt;="&amp;$G$3))</f>
        <v/>
      </c>
      <c r="G35" s="29">
        <f>IF(OR($A35="",G$16=""),"",SUMIFS(Paradas!$F$5:$F$1004,Paradas!$E$5:$E$1004,$A35,Paradas!$B$5:$B$1004,G$16,Paradas!$A$5:$A$1004,"&gt;="&amp;$E$3,Paradas!$A$5:$A$1004,"&lt;="&amp;$G$3))</f>
        <v/>
      </c>
      <c r="H35" s="29">
        <f>IF($A35="","",SUM(B35:G35))</f>
        <v/>
      </c>
    </row>
    <row r="36">
      <c r="A36" s="28">
        <f>IF('Motivos de Parada'!A24="","",'Motivos de Parada'!A24)</f>
        <v/>
      </c>
      <c r="B36" s="29">
        <f>IF(OR($A36="",B$16=""),"",SUMIFS(Paradas!$F$5:$F$1004,Paradas!$E$5:$E$1004,$A36,Paradas!$B$5:$B$1004,B$16,Paradas!$A$5:$A$1004,"&gt;="&amp;$E$3,Paradas!$A$5:$A$1004,"&lt;="&amp;$G$3))</f>
        <v/>
      </c>
      <c r="C36" s="29">
        <f>IF(OR($A36="",C$16=""),"",SUMIFS(Paradas!$F$5:$F$1004,Paradas!$E$5:$E$1004,$A36,Paradas!$B$5:$B$1004,C$16,Paradas!$A$5:$A$1004,"&gt;="&amp;$E$3,Paradas!$A$5:$A$1004,"&lt;="&amp;$G$3))</f>
        <v/>
      </c>
      <c r="D36" s="29">
        <f>IF(OR($A36="",D$16=""),"",SUMIFS(Paradas!$F$5:$F$1004,Paradas!$E$5:$E$1004,$A36,Paradas!$B$5:$B$1004,D$16,Paradas!$A$5:$A$1004,"&gt;="&amp;$E$3,Paradas!$A$5:$A$1004,"&lt;="&amp;$G$3))</f>
        <v/>
      </c>
      <c r="E36" s="29">
        <f>IF(OR($A36="",E$16=""),"",SUMIFS(Paradas!$F$5:$F$1004,Paradas!$E$5:$E$1004,$A36,Paradas!$B$5:$B$1004,E$16,Paradas!$A$5:$A$1004,"&gt;="&amp;$E$3,Paradas!$A$5:$A$1004,"&lt;="&amp;$G$3))</f>
        <v/>
      </c>
      <c r="F36" s="29">
        <f>IF(OR($A36="",F$16=""),"",SUMIFS(Paradas!$F$5:$F$1004,Paradas!$E$5:$E$1004,$A36,Paradas!$B$5:$B$1004,F$16,Paradas!$A$5:$A$1004,"&gt;="&amp;$E$3,Paradas!$A$5:$A$1004,"&lt;="&amp;$G$3))</f>
        <v/>
      </c>
      <c r="G36" s="29">
        <f>IF(OR($A36="",G$16=""),"",SUMIFS(Paradas!$F$5:$F$1004,Paradas!$E$5:$E$1004,$A36,Paradas!$B$5:$B$1004,G$16,Paradas!$A$5:$A$1004,"&gt;="&amp;$E$3,Paradas!$A$5:$A$1004,"&lt;="&amp;$G$3))</f>
        <v/>
      </c>
      <c r="H36" s="29">
        <f>IF($A36="","",SUM(B36:G36))</f>
        <v/>
      </c>
    </row>
    <row r="37">
      <c r="A37" s="18" t="inlineStr">
        <is>
          <t>TOTAL</t>
        </is>
      </c>
      <c r="B37" s="30">
        <f>SUM(B17:B36)</f>
        <v/>
      </c>
      <c r="C37" s="30">
        <f>SUM(C17:C36)</f>
        <v/>
      </c>
      <c r="D37" s="30">
        <f>SUM(D17:D36)</f>
        <v/>
      </c>
      <c r="E37" s="30">
        <f>SUM(E17:E36)</f>
        <v/>
      </c>
      <c r="F37" s="30">
        <f>SUM(F17:F36)</f>
        <v/>
      </c>
      <c r="G37" s="30">
        <f>SUM(G17:G36)</f>
        <v/>
      </c>
      <c r="H37" s="30">
        <f>SUM(H17:H36)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Obs.: se houver mais de uma linha de lançamento diário para o mesmo equipamento no mesmo dia, as paradas daquele dia serão somadas em cada linha. Use uma linha por equipamento por dia.</t>
        </is>
      </c>
      <c r="B39" s="2" t="n"/>
      <c r="C39" s="2" t="n"/>
      <c r="D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2026-09-24T12:44:19Z</dcterms:created>
  <dcterms:modified xsi:type="dcterms:W3CDTF">2026-09-24T12:44:20Z</dcterms:modified>
</cp:coreProperties>
</file>