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amentos" sheetId="1" state="visible" r:id="rId1"/>
    <sheet name="Lançamentos" sheetId="2" state="visible" r:id="rId2"/>
    <sheet name="Resumo Mensal" sheetId="3" state="visible" r:id="rId3"/>
  </sheets>
  <definedNames>
    <definedName name="_xlnm._FilterDatabase" localSheetId="1" hidden="1">'Lançamentos'!$A$4:$P$504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R$&quot; #,##0.00"/>
    <numFmt numFmtId="165" formatCode="DD/MM/YYYY"/>
    <numFmt numFmtId="166" formatCode="HH:MM"/>
    <numFmt numFmtId="167" formatCode="#,##0.0"/>
    <numFmt numFmtId="168" formatCode="MM/YYYY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0" fontId="5" fillId="3" borderId="1" pivotButton="0" quotePrefix="0" xfId="0"/>
    <xf numFmtId="164" fontId="5" fillId="3" borderId="1" pivotButton="0" quotePrefix="0" xfId="0"/>
    <xf numFmtId="2" fontId="5" fillId="3" borderId="1" pivotButton="0" quotePrefix="0" xfId="0"/>
    <xf numFmtId="0" fontId="6" fillId="3" borderId="1" pivotButton="0" quotePrefix="0" xfId="0"/>
    <xf numFmtId="165" fontId="5" fillId="3" borderId="1" pivotButton="0" quotePrefix="0" xfId="0"/>
    <xf numFmtId="166" fontId="5" fillId="3" borderId="1" pivotButton="0" quotePrefix="0" xfId="0"/>
    <xf numFmtId="167" fontId="5" fillId="3" borderId="1" pivotButton="0" quotePrefix="0" xfId="0"/>
    <xf numFmtId="2" fontId="6" fillId="4" borderId="1" pivotButton="0" quotePrefix="0" xfId="0"/>
    <xf numFmtId="164" fontId="6" fillId="4" borderId="1" pivotButton="0" quotePrefix="0" xfId="0"/>
    <xf numFmtId="165" fontId="6" fillId="3" borderId="1" pivotButton="0" quotePrefix="0" xfId="0"/>
    <xf numFmtId="166" fontId="6" fillId="3" borderId="1" pivotButton="0" quotePrefix="0" xfId="0"/>
    <xf numFmtId="167" fontId="6" fillId="3" borderId="1" pivotButton="0" quotePrefix="0" xfId="0"/>
    <xf numFmtId="0" fontId="4" fillId="0" borderId="0" pivotButton="0" quotePrefix="0" xfId="0"/>
    <xf numFmtId="168" fontId="5" fillId="3" borderId="1" pivotButton="0" quotePrefix="0" xfId="0"/>
    <xf numFmtId="165" fontId="6" fillId="0" borderId="0" pivotButton="0" quotePrefix="0" xfId="0"/>
    <xf numFmtId="1" fontId="6" fillId="0" borderId="1" pivotButton="0" quotePrefix="0" xfId="0"/>
    <xf numFmtId="2" fontId="6" fillId="0" borderId="1" pivotButton="0" quotePrefix="0" xfId="0"/>
    <xf numFmtId="164" fontId="6" fillId="0" borderId="1" pivotButton="0" quotePrefix="0" xfId="0"/>
    <xf numFmtId="1" fontId="4" fillId="0" borderId="1" pivotButton="0" quotePrefix="0" xfId="0"/>
    <xf numFmtId="2" fontId="4" fillId="0" borderId="1" pivotButton="0" quotePrefix="0" xfId="0"/>
    <xf numFmtId="164" fontId="4" fillId="0" borderId="1" pivotButton="0" quotePrefix="0" xfId="0"/>
    <xf numFmtId="168" fontId="5" fillId="3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Modelo</author>
  </authors>
  <commentList>
    <comment ref="C5" authorId="0" shapeId="0">
      <text>
        <t>Valor de exemplo. Substitua pelo valor real da hora deste equipamento.</t>
      </text>
    </comment>
    <comment ref="D5" authorId="0" shapeId="0">
      <text>
        <t>Franquia mínima cobrada por dia (ex.: 4 h). Se não usar mínimo, coloque 0.</t>
      </text>
    </comment>
  </commentList>
</comments>
</file>

<file path=xl/comments/comment2.xml><?xml version="1.0" encoding="utf-8"?>
<comments xmlns="http://schemas.openxmlformats.org/spreadsheetml/2006/main">
  <authors>
    <author>Modelo</author>
  </authors>
  <commentList>
    <comment ref="J4" authorId="0" shapeId="0">
      <text>
        <t>Trabalhou: cobra o maior entre horas trabalhadas e o mínimo.
Parado - cliente: cobra o mínimo (à disposição).
Parado - manutenção / Sem serviço: não cobra.</t>
      </text>
    </comment>
    <comment ref="L4" authorId="0" shapeId="0">
      <text>
        <t>Horímetro final − inicial. Serve para conferir com as horas apontadas (coluna K).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6" customWidth="1" min="4" max="4"/>
  </cols>
  <sheetData>
    <row r="1">
      <c r="A1" s="1" t="inlineStr">
        <is>
          <t>CADASTRO DE EQUIPAMENTOS</t>
        </is>
      </c>
      <c r="B1" s="2" t="n"/>
      <c r="C1" s="2" t="n"/>
      <c r="D1" s="2" t="n"/>
    </row>
    <row r="2">
      <c r="A2" s="3" t="inlineStr">
        <is>
          <t>Células amarelas: preencha/ajuste. Valores em azul são EXEMPLOS — substitua pelos seus.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 ht="30" customHeight="1">
      <c r="A4" s="4" t="inlineStr">
        <is>
          <t>Equipamento</t>
        </is>
      </c>
      <c r="B4" s="4" t="inlineStr">
        <is>
          <t>Placa / Identificação</t>
        </is>
      </c>
      <c r="C4" s="4" t="inlineStr">
        <is>
          <t>Valor da hora (R$)</t>
        </is>
      </c>
      <c r="D4" s="4" t="inlineStr">
        <is>
          <t>Mínimo de horas por diária</t>
        </is>
      </c>
    </row>
    <row r="5">
      <c r="A5" s="5" t="inlineStr">
        <is>
          <t>Guindaste 30 t</t>
        </is>
      </c>
      <c r="B5" s="6" t="inlineStr">
        <is>
          <t>ABC-1234</t>
        </is>
      </c>
      <c r="C5" s="7" t="n">
        <v>350</v>
      </c>
      <c r="D5" s="8" t="n">
        <v>4</v>
      </c>
    </row>
    <row r="6">
      <c r="A6" s="5" t="inlineStr">
        <is>
          <t>Guindaste 70 t</t>
        </is>
      </c>
      <c r="B6" s="6" t="inlineStr">
        <is>
          <t>DEF-5678</t>
        </is>
      </c>
      <c r="C6" s="7" t="n">
        <v>550</v>
      </c>
      <c r="D6" s="8" t="n">
        <v>4</v>
      </c>
    </row>
    <row r="7">
      <c r="A7" s="5" t="inlineStr">
        <is>
          <t>Caminhão Munck</t>
        </is>
      </c>
      <c r="B7" s="6" t="inlineStr">
        <is>
          <t>GHI-9012</t>
        </is>
      </c>
      <c r="C7" s="7" t="n">
        <v>220</v>
      </c>
      <c r="D7" s="8" t="n">
        <v>4</v>
      </c>
    </row>
    <row r="8">
      <c r="A8" s="9" t="n"/>
      <c r="B8" s="9" t="n"/>
      <c r="C8" s="9" t="n"/>
      <c r="D8" s="9" t="n"/>
    </row>
    <row r="9">
      <c r="A9" s="9" t="n"/>
      <c r="B9" s="9" t="n"/>
      <c r="C9" s="9" t="n"/>
      <c r="D9" s="9" t="n"/>
    </row>
    <row r="10">
      <c r="A10" s="9" t="n"/>
      <c r="B10" s="9" t="n"/>
      <c r="C10" s="9" t="n"/>
      <c r="D10" s="9" t="n"/>
    </row>
    <row r="11">
      <c r="A11" s="2" t="n"/>
      <c r="B11" s="2" t="n"/>
      <c r="C11" s="2" t="n"/>
      <c r="D11" s="2" t="n"/>
    </row>
    <row r="12">
      <c r="A12" s="3" t="inlineStr">
        <is>
          <t>Linhas 8 a 10 livres para novos equipamentos.</t>
        </is>
      </c>
      <c r="B12" s="2" t="n"/>
      <c r="C12" s="2" t="n"/>
      <c r="D12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26" customWidth="1" min="4" max="4"/>
    <col width="10" customWidth="1" min="5" max="5"/>
    <col width="10" customWidth="1" min="6" max="6"/>
    <col width="11" customWidth="1" min="7" max="7"/>
    <col width="12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3" customWidth="1" min="14" max="14"/>
    <col width="14" customWidth="1" min="15" max="15"/>
    <col width="28" customWidth="1" min="16" max="16"/>
  </cols>
  <sheetData>
    <row r="1">
      <c r="A1" s="1" t="inlineStr">
        <is>
          <t>CONTROLE DIÁRIO DE HORAS — GUINDASTES E MUNCK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Preencha só as colunas amarelas (A a J e P). As cinzas calculam sozinhas. Linha 5 é EXEMPLO — pode apagar.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 ht="32" customHeight="1">
      <c r="A4" s="4" t="inlineStr">
        <is>
          <t>Data</t>
        </is>
      </c>
      <c r="B4" s="4" t="inlineStr">
        <is>
          <t>Equipamento</t>
        </is>
      </c>
      <c r="C4" s="4" t="inlineStr">
        <is>
          <t>Operador</t>
        </is>
      </c>
      <c r="D4" s="4" t="inlineStr">
        <is>
          <t>Cliente / Obra</t>
        </is>
      </c>
      <c r="E4" s="4" t="inlineStr">
        <is>
          <t>Hora início</t>
        </is>
      </c>
      <c r="F4" s="4" t="inlineStr">
        <is>
          <t>Hora término</t>
        </is>
      </c>
      <c r="G4" s="4" t="inlineStr">
        <is>
          <t>Intervalo (h:mm)</t>
        </is>
      </c>
      <c r="H4" s="4" t="inlineStr">
        <is>
          <t>Horímetro inicial</t>
        </is>
      </c>
      <c r="I4" s="4" t="inlineStr">
        <is>
          <t>Horímetro final</t>
        </is>
      </c>
      <c r="J4" s="4" t="inlineStr">
        <is>
          <t>Status do dia</t>
        </is>
      </c>
      <c r="K4" s="4" t="inlineStr">
        <is>
          <t>Horas trabalhadas</t>
        </is>
      </c>
      <c r="L4" s="4" t="inlineStr">
        <is>
          <t>Horas horímetro</t>
        </is>
      </c>
      <c r="M4" s="4" t="inlineStr">
        <is>
          <t>Horas faturadas</t>
        </is>
      </c>
      <c r="N4" s="4" t="inlineStr">
        <is>
          <t>Valor da hora (R$)</t>
        </is>
      </c>
      <c r="O4" s="4" t="inlineStr">
        <is>
          <t>Valor do dia (R$)</t>
        </is>
      </c>
      <c r="P4" s="4" t="inlineStr">
        <is>
          <t>Observações</t>
        </is>
      </c>
    </row>
    <row r="5">
      <c r="A5" s="10" t="n">
        <v>46266</v>
      </c>
      <c r="B5" s="6" t="inlineStr">
        <is>
          <t>Guindaste 30 t</t>
        </is>
      </c>
      <c r="C5" s="6" t="inlineStr">
        <is>
          <t>João Silva</t>
        </is>
      </c>
      <c r="D5" s="6" t="inlineStr">
        <is>
          <t>Obra Centro — Construtora X</t>
        </is>
      </c>
      <c r="E5" s="11" t="n">
        <v>0.2916666666666667</v>
      </c>
      <c r="F5" s="11" t="n">
        <v>0.7083333333333334</v>
      </c>
      <c r="G5" s="11" t="n">
        <v>0.04166666666666666</v>
      </c>
      <c r="H5" s="12" t="n">
        <v>1250</v>
      </c>
      <c r="I5" s="12" t="n">
        <v>1258.5</v>
      </c>
      <c r="J5" s="6" t="inlineStr">
        <is>
          <t>Trabalhou</t>
        </is>
      </c>
      <c r="K5" s="13">
        <f>IF(OR(E5="",F5=""),"",ROUND((MOD(F5-E5,1)-N(G5))*24,2))</f>
        <v/>
      </c>
      <c r="L5" s="13">
        <f>IF(OR(H5="",I5=""),"",I5-H5)</f>
        <v/>
      </c>
      <c r="M5" s="13">
        <f>IF(B5="","",IF(J5="Parado - cliente",IFERROR(INDEX(Equipamentos!$D$5:$D$10,MATCH(B5,Equipamentos!$A$5:$A$10,0)),0),IF(OR(J5="Parado - manutenção",J5="Sem serviço"),0,MAX(N(K5),IFERROR(INDEX(Equipamentos!$D$5:$D$10,MATCH(B5,Equipamentos!$A$5:$A$10,0)),0)))))</f>
        <v/>
      </c>
      <c r="N5" s="14">
        <f>IF(B5="","",IFERROR(INDEX(Equipamentos!$C$5:$C$10,MATCH(B5,Equipamentos!$A$5:$A$10,0)),0))</f>
        <v/>
      </c>
      <c r="O5" s="14">
        <f>IF(B5="","",M5*N5)</f>
        <v/>
      </c>
      <c r="P5" s="6" t="inlineStr">
        <is>
          <t>EXEMPLO — apagar</t>
        </is>
      </c>
    </row>
    <row r="6">
      <c r="A6" s="15" t="n"/>
      <c r="B6" s="9" t="n"/>
      <c r="C6" s="9" t="n"/>
      <c r="D6" s="9" t="n"/>
      <c r="E6" s="16" t="n"/>
      <c r="F6" s="16" t="n"/>
      <c r="G6" s="16" t="n"/>
      <c r="H6" s="17" t="n"/>
      <c r="I6" s="17" t="n"/>
      <c r="J6" s="9" t="n"/>
      <c r="K6" s="13">
        <f>IF(OR(E6="",F6=""),"",ROUND((MOD(F6-E6,1)-N(G6))*24,2))</f>
        <v/>
      </c>
      <c r="L6" s="13">
        <f>IF(OR(H6="",I6=""),"",I6-H6)</f>
        <v/>
      </c>
      <c r="M6" s="13">
        <f>IF(B6="","",IF(J6="Parado - cliente",IFERROR(INDEX(Equipamentos!$D$5:$D$10,MATCH(B6,Equipamentos!$A$5:$A$10,0)),0),IF(OR(J6="Parado - manutenção",J6="Sem serviço"),0,MAX(N(K6),IFERROR(INDEX(Equipamentos!$D$5:$D$10,MATCH(B6,Equipamentos!$A$5:$A$10,0)),0)))))</f>
        <v/>
      </c>
      <c r="N6" s="14">
        <f>IF(B6="","",IFERROR(INDEX(Equipamentos!$C$5:$C$10,MATCH(B6,Equipamentos!$A$5:$A$10,0)),0))</f>
        <v/>
      </c>
      <c r="O6" s="14">
        <f>IF(B6="","",M6*N6)</f>
        <v/>
      </c>
      <c r="P6" s="9" t="n"/>
    </row>
    <row r="7">
      <c r="A7" s="15" t="n"/>
      <c r="B7" s="9" t="n"/>
      <c r="C7" s="9" t="n"/>
      <c r="D7" s="9" t="n"/>
      <c r="E7" s="16" t="n"/>
      <c r="F7" s="16" t="n"/>
      <c r="G7" s="16" t="n"/>
      <c r="H7" s="17" t="n"/>
      <c r="I7" s="17" t="n"/>
      <c r="J7" s="9" t="n"/>
      <c r="K7" s="13">
        <f>IF(OR(E7="",F7=""),"",ROUND((MOD(F7-E7,1)-N(G7))*24,2))</f>
        <v/>
      </c>
      <c r="L7" s="13">
        <f>IF(OR(H7="",I7=""),"",I7-H7)</f>
        <v/>
      </c>
      <c r="M7" s="13">
        <f>IF(B7="","",IF(J7="Parado - cliente",IFERROR(INDEX(Equipamentos!$D$5:$D$10,MATCH(B7,Equipamentos!$A$5:$A$10,0)),0),IF(OR(J7="Parado - manutenção",J7="Sem serviço"),0,MAX(N(K7),IFERROR(INDEX(Equipamentos!$D$5:$D$10,MATCH(B7,Equipamentos!$A$5:$A$10,0)),0)))))</f>
        <v/>
      </c>
      <c r="N7" s="14">
        <f>IF(B7="","",IFERROR(INDEX(Equipamentos!$C$5:$C$10,MATCH(B7,Equipamentos!$A$5:$A$10,0)),0))</f>
        <v/>
      </c>
      <c r="O7" s="14">
        <f>IF(B7="","",M7*N7)</f>
        <v/>
      </c>
      <c r="P7" s="9" t="n"/>
    </row>
    <row r="8">
      <c r="A8" s="15" t="n"/>
      <c r="B8" s="9" t="n"/>
      <c r="C8" s="9" t="n"/>
      <c r="D8" s="9" t="n"/>
      <c r="E8" s="16" t="n"/>
      <c r="F8" s="16" t="n"/>
      <c r="G8" s="16" t="n"/>
      <c r="H8" s="17" t="n"/>
      <c r="I8" s="17" t="n"/>
      <c r="J8" s="9" t="n"/>
      <c r="K8" s="13">
        <f>IF(OR(E8="",F8=""),"",ROUND((MOD(F8-E8,1)-N(G8))*24,2))</f>
        <v/>
      </c>
      <c r="L8" s="13">
        <f>IF(OR(H8="",I8=""),"",I8-H8)</f>
        <v/>
      </c>
      <c r="M8" s="13">
        <f>IF(B8="","",IF(J8="Parado - cliente",IFERROR(INDEX(Equipamentos!$D$5:$D$10,MATCH(B8,Equipamentos!$A$5:$A$10,0)),0),IF(OR(J8="Parado - manutenção",J8="Sem serviço"),0,MAX(N(K8),IFERROR(INDEX(Equipamentos!$D$5:$D$10,MATCH(B8,Equipamentos!$A$5:$A$10,0)),0)))))</f>
        <v/>
      </c>
      <c r="N8" s="14">
        <f>IF(B8="","",IFERROR(INDEX(Equipamentos!$C$5:$C$10,MATCH(B8,Equipamentos!$A$5:$A$10,0)),0))</f>
        <v/>
      </c>
      <c r="O8" s="14">
        <f>IF(B8="","",M8*N8)</f>
        <v/>
      </c>
      <c r="P8" s="9" t="n"/>
    </row>
    <row r="9">
      <c r="A9" s="15" t="n"/>
      <c r="B9" s="9" t="n"/>
      <c r="C9" s="9" t="n"/>
      <c r="D9" s="9" t="n"/>
      <c r="E9" s="16" t="n"/>
      <c r="F9" s="16" t="n"/>
      <c r="G9" s="16" t="n"/>
      <c r="H9" s="17" t="n"/>
      <c r="I9" s="17" t="n"/>
      <c r="J9" s="9" t="n"/>
      <c r="K9" s="13">
        <f>IF(OR(E9="",F9=""),"",ROUND((MOD(F9-E9,1)-N(G9))*24,2))</f>
        <v/>
      </c>
      <c r="L9" s="13">
        <f>IF(OR(H9="",I9=""),"",I9-H9)</f>
        <v/>
      </c>
      <c r="M9" s="13">
        <f>IF(B9="","",IF(J9="Parado - cliente",IFERROR(INDEX(Equipamentos!$D$5:$D$10,MATCH(B9,Equipamentos!$A$5:$A$10,0)),0),IF(OR(J9="Parado - manutenção",J9="Sem serviço"),0,MAX(N(K9),IFERROR(INDEX(Equipamentos!$D$5:$D$10,MATCH(B9,Equipamentos!$A$5:$A$10,0)),0)))))</f>
        <v/>
      </c>
      <c r="N9" s="14">
        <f>IF(B9="","",IFERROR(INDEX(Equipamentos!$C$5:$C$10,MATCH(B9,Equipamentos!$A$5:$A$10,0)),0))</f>
        <v/>
      </c>
      <c r="O9" s="14">
        <f>IF(B9="","",M9*N9)</f>
        <v/>
      </c>
      <c r="P9" s="9" t="n"/>
    </row>
    <row r="10">
      <c r="A10" s="15" t="n"/>
      <c r="B10" s="9" t="n"/>
      <c r="C10" s="9" t="n"/>
      <c r="D10" s="9" t="n"/>
      <c r="E10" s="16" t="n"/>
      <c r="F10" s="16" t="n"/>
      <c r="G10" s="16" t="n"/>
      <c r="H10" s="17" t="n"/>
      <c r="I10" s="17" t="n"/>
      <c r="J10" s="9" t="n"/>
      <c r="K10" s="13">
        <f>IF(OR(E10="",F10=""),"",ROUND((MOD(F10-E10,1)-N(G10))*24,2))</f>
        <v/>
      </c>
      <c r="L10" s="13">
        <f>IF(OR(H10="",I10=""),"",I10-H10)</f>
        <v/>
      </c>
      <c r="M10" s="13">
        <f>IF(B10="","",IF(J10="Parado - cliente",IFERROR(INDEX(Equipamentos!$D$5:$D$10,MATCH(B10,Equipamentos!$A$5:$A$10,0)),0),IF(OR(J10="Parado - manutenção",J10="Sem serviço"),0,MAX(N(K10),IFERROR(INDEX(Equipamentos!$D$5:$D$10,MATCH(B10,Equipamentos!$A$5:$A$10,0)),0)))))</f>
        <v/>
      </c>
      <c r="N10" s="14">
        <f>IF(B10="","",IFERROR(INDEX(Equipamentos!$C$5:$C$10,MATCH(B10,Equipamentos!$A$5:$A$10,0)),0))</f>
        <v/>
      </c>
      <c r="O10" s="14">
        <f>IF(B10="","",M10*N10)</f>
        <v/>
      </c>
      <c r="P10" s="9" t="n"/>
    </row>
    <row r="11">
      <c r="A11" s="15" t="n"/>
      <c r="B11" s="9" t="n"/>
      <c r="C11" s="9" t="n"/>
      <c r="D11" s="9" t="n"/>
      <c r="E11" s="16" t="n"/>
      <c r="F11" s="16" t="n"/>
      <c r="G11" s="16" t="n"/>
      <c r="H11" s="17" t="n"/>
      <c r="I11" s="17" t="n"/>
      <c r="J11" s="9" t="n"/>
      <c r="K11" s="13">
        <f>IF(OR(E11="",F11=""),"",ROUND((MOD(F11-E11,1)-N(G11))*24,2))</f>
        <v/>
      </c>
      <c r="L11" s="13">
        <f>IF(OR(H11="",I11=""),"",I11-H11)</f>
        <v/>
      </c>
      <c r="M11" s="13">
        <f>IF(B11="","",IF(J11="Parado - cliente",IFERROR(INDEX(Equipamentos!$D$5:$D$10,MATCH(B11,Equipamentos!$A$5:$A$10,0)),0),IF(OR(J11="Parado - manutenção",J11="Sem serviço"),0,MAX(N(K11),IFERROR(INDEX(Equipamentos!$D$5:$D$10,MATCH(B11,Equipamentos!$A$5:$A$10,0)),0)))))</f>
        <v/>
      </c>
      <c r="N11" s="14">
        <f>IF(B11="","",IFERROR(INDEX(Equipamentos!$C$5:$C$10,MATCH(B11,Equipamentos!$A$5:$A$10,0)),0))</f>
        <v/>
      </c>
      <c r="O11" s="14">
        <f>IF(B11="","",M11*N11)</f>
        <v/>
      </c>
      <c r="P11" s="9" t="n"/>
    </row>
    <row r="12">
      <c r="A12" s="15" t="n"/>
      <c r="B12" s="9" t="n"/>
      <c r="C12" s="9" t="n"/>
      <c r="D12" s="9" t="n"/>
      <c r="E12" s="16" t="n"/>
      <c r="F12" s="16" t="n"/>
      <c r="G12" s="16" t="n"/>
      <c r="H12" s="17" t="n"/>
      <c r="I12" s="17" t="n"/>
      <c r="J12" s="9" t="n"/>
      <c r="K12" s="13">
        <f>IF(OR(E12="",F12=""),"",ROUND((MOD(F12-E12,1)-N(G12))*24,2))</f>
        <v/>
      </c>
      <c r="L12" s="13">
        <f>IF(OR(H12="",I12=""),"",I12-H12)</f>
        <v/>
      </c>
      <c r="M12" s="13">
        <f>IF(B12="","",IF(J12="Parado - cliente",IFERROR(INDEX(Equipamentos!$D$5:$D$10,MATCH(B12,Equipamentos!$A$5:$A$10,0)),0),IF(OR(J12="Parado - manutenção",J12="Sem serviço"),0,MAX(N(K12),IFERROR(INDEX(Equipamentos!$D$5:$D$10,MATCH(B12,Equipamentos!$A$5:$A$10,0)),0)))))</f>
        <v/>
      </c>
      <c r="N12" s="14">
        <f>IF(B12="","",IFERROR(INDEX(Equipamentos!$C$5:$C$10,MATCH(B12,Equipamentos!$A$5:$A$10,0)),0))</f>
        <v/>
      </c>
      <c r="O12" s="14">
        <f>IF(B12="","",M12*N12)</f>
        <v/>
      </c>
      <c r="P12" s="9" t="n"/>
    </row>
    <row r="13">
      <c r="A13" s="15" t="n"/>
      <c r="B13" s="9" t="n"/>
      <c r="C13" s="9" t="n"/>
      <c r="D13" s="9" t="n"/>
      <c r="E13" s="16" t="n"/>
      <c r="F13" s="16" t="n"/>
      <c r="G13" s="16" t="n"/>
      <c r="H13" s="17" t="n"/>
      <c r="I13" s="17" t="n"/>
      <c r="J13" s="9" t="n"/>
      <c r="K13" s="13">
        <f>IF(OR(E13="",F13=""),"",ROUND((MOD(F13-E13,1)-N(G13))*24,2))</f>
        <v/>
      </c>
      <c r="L13" s="13">
        <f>IF(OR(H13="",I13=""),"",I13-H13)</f>
        <v/>
      </c>
      <c r="M13" s="13">
        <f>IF(B13="","",IF(J13="Parado - cliente",IFERROR(INDEX(Equipamentos!$D$5:$D$10,MATCH(B13,Equipamentos!$A$5:$A$10,0)),0),IF(OR(J13="Parado - manutenção",J13="Sem serviço"),0,MAX(N(K13),IFERROR(INDEX(Equipamentos!$D$5:$D$10,MATCH(B13,Equipamentos!$A$5:$A$10,0)),0)))))</f>
        <v/>
      </c>
      <c r="N13" s="14">
        <f>IF(B13="","",IFERROR(INDEX(Equipamentos!$C$5:$C$10,MATCH(B13,Equipamentos!$A$5:$A$10,0)),0))</f>
        <v/>
      </c>
      <c r="O13" s="14">
        <f>IF(B13="","",M13*N13)</f>
        <v/>
      </c>
      <c r="P13" s="9" t="n"/>
    </row>
    <row r="14">
      <c r="A14" s="15" t="n"/>
      <c r="B14" s="9" t="n"/>
      <c r="C14" s="9" t="n"/>
      <c r="D14" s="9" t="n"/>
      <c r="E14" s="16" t="n"/>
      <c r="F14" s="16" t="n"/>
      <c r="G14" s="16" t="n"/>
      <c r="H14" s="17" t="n"/>
      <c r="I14" s="17" t="n"/>
      <c r="J14" s="9" t="n"/>
      <c r="K14" s="13">
        <f>IF(OR(E14="",F14=""),"",ROUND((MOD(F14-E14,1)-N(G14))*24,2))</f>
        <v/>
      </c>
      <c r="L14" s="13">
        <f>IF(OR(H14="",I14=""),"",I14-H14)</f>
        <v/>
      </c>
      <c r="M14" s="13">
        <f>IF(B14="","",IF(J14="Parado - cliente",IFERROR(INDEX(Equipamentos!$D$5:$D$10,MATCH(B14,Equipamentos!$A$5:$A$10,0)),0),IF(OR(J14="Parado - manutenção",J14="Sem serviço"),0,MAX(N(K14),IFERROR(INDEX(Equipamentos!$D$5:$D$10,MATCH(B14,Equipamentos!$A$5:$A$10,0)),0)))))</f>
        <v/>
      </c>
      <c r="N14" s="14">
        <f>IF(B14="","",IFERROR(INDEX(Equipamentos!$C$5:$C$10,MATCH(B14,Equipamentos!$A$5:$A$10,0)),0))</f>
        <v/>
      </c>
      <c r="O14" s="14">
        <f>IF(B14="","",M14*N14)</f>
        <v/>
      </c>
      <c r="P14" s="9" t="n"/>
    </row>
    <row r="15">
      <c r="A15" s="15" t="n"/>
      <c r="B15" s="9" t="n"/>
      <c r="C15" s="9" t="n"/>
      <c r="D15" s="9" t="n"/>
      <c r="E15" s="16" t="n"/>
      <c r="F15" s="16" t="n"/>
      <c r="G15" s="16" t="n"/>
      <c r="H15" s="17" t="n"/>
      <c r="I15" s="17" t="n"/>
      <c r="J15" s="9" t="n"/>
      <c r="K15" s="13">
        <f>IF(OR(E15="",F15=""),"",ROUND((MOD(F15-E15,1)-N(G15))*24,2))</f>
        <v/>
      </c>
      <c r="L15" s="13">
        <f>IF(OR(H15="",I15=""),"",I15-H15)</f>
        <v/>
      </c>
      <c r="M15" s="13">
        <f>IF(B15="","",IF(J15="Parado - cliente",IFERROR(INDEX(Equipamentos!$D$5:$D$10,MATCH(B15,Equipamentos!$A$5:$A$10,0)),0),IF(OR(J15="Parado - manutenção",J15="Sem serviço"),0,MAX(N(K15),IFERROR(INDEX(Equipamentos!$D$5:$D$10,MATCH(B15,Equipamentos!$A$5:$A$10,0)),0)))))</f>
        <v/>
      </c>
      <c r="N15" s="14">
        <f>IF(B15="","",IFERROR(INDEX(Equipamentos!$C$5:$C$10,MATCH(B15,Equipamentos!$A$5:$A$10,0)),0))</f>
        <v/>
      </c>
      <c r="O15" s="14">
        <f>IF(B15="","",M15*N15)</f>
        <v/>
      </c>
      <c r="P15" s="9" t="n"/>
    </row>
    <row r="16">
      <c r="A16" s="15" t="n"/>
      <c r="B16" s="9" t="n"/>
      <c r="C16" s="9" t="n"/>
      <c r="D16" s="9" t="n"/>
      <c r="E16" s="16" t="n"/>
      <c r="F16" s="16" t="n"/>
      <c r="G16" s="16" t="n"/>
      <c r="H16" s="17" t="n"/>
      <c r="I16" s="17" t="n"/>
      <c r="J16" s="9" t="n"/>
      <c r="K16" s="13">
        <f>IF(OR(E16="",F16=""),"",ROUND((MOD(F16-E16,1)-N(G16))*24,2))</f>
        <v/>
      </c>
      <c r="L16" s="13">
        <f>IF(OR(H16="",I16=""),"",I16-H16)</f>
        <v/>
      </c>
      <c r="M16" s="13">
        <f>IF(B16="","",IF(J16="Parado - cliente",IFERROR(INDEX(Equipamentos!$D$5:$D$10,MATCH(B16,Equipamentos!$A$5:$A$10,0)),0),IF(OR(J16="Parado - manutenção",J16="Sem serviço"),0,MAX(N(K16),IFERROR(INDEX(Equipamentos!$D$5:$D$10,MATCH(B16,Equipamentos!$A$5:$A$10,0)),0)))))</f>
        <v/>
      </c>
      <c r="N16" s="14">
        <f>IF(B16="","",IFERROR(INDEX(Equipamentos!$C$5:$C$10,MATCH(B16,Equipamentos!$A$5:$A$10,0)),0))</f>
        <v/>
      </c>
      <c r="O16" s="14">
        <f>IF(B16="","",M16*N16)</f>
        <v/>
      </c>
      <c r="P16" s="9" t="n"/>
    </row>
    <row r="17">
      <c r="A17" s="15" t="n"/>
      <c r="B17" s="9" t="n"/>
      <c r="C17" s="9" t="n"/>
      <c r="D17" s="9" t="n"/>
      <c r="E17" s="16" t="n"/>
      <c r="F17" s="16" t="n"/>
      <c r="G17" s="16" t="n"/>
      <c r="H17" s="17" t="n"/>
      <c r="I17" s="17" t="n"/>
      <c r="J17" s="9" t="n"/>
      <c r="K17" s="13">
        <f>IF(OR(E17="",F17=""),"",ROUND((MOD(F17-E17,1)-N(G17))*24,2))</f>
        <v/>
      </c>
      <c r="L17" s="13">
        <f>IF(OR(H17="",I17=""),"",I17-H17)</f>
        <v/>
      </c>
      <c r="M17" s="13">
        <f>IF(B17="","",IF(J17="Parado - cliente",IFERROR(INDEX(Equipamentos!$D$5:$D$10,MATCH(B17,Equipamentos!$A$5:$A$10,0)),0),IF(OR(J17="Parado - manutenção",J17="Sem serviço"),0,MAX(N(K17),IFERROR(INDEX(Equipamentos!$D$5:$D$10,MATCH(B17,Equipamentos!$A$5:$A$10,0)),0)))))</f>
        <v/>
      </c>
      <c r="N17" s="14">
        <f>IF(B17="","",IFERROR(INDEX(Equipamentos!$C$5:$C$10,MATCH(B17,Equipamentos!$A$5:$A$10,0)),0))</f>
        <v/>
      </c>
      <c r="O17" s="14">
        <f>IF(B17="","",M17*N17)</f>
        <v/>
      </c>
      <c r="P17" s="9" t="n"/>
    </row>
    <row r="18">
      <c r="A18" s="15" t="n"/>
      <c r="B18" s="9" t="n"/>
      <c r="C18" s="9" t="n"/>
      <c r="D18" s="9" t="n"/>
      <c r="E18" s="16" t="n"/>
      <c r="F18" s="16" t="n"/>
      <c r="G18" s="16" t="n"/>
      <c r="H18" s="17" t="n"/>
      <c r="I18" s="17" t="n"/>
      <c r="J18" s="9" t="n"/>
      <c r="K18" s="13">
        <f>IF(OR(E18="",F18=""),"",ROUND((MOD(F18-E18,1)-N(G18))*24,2))</f>
        <v/>
      </c>
      <c r="L18" s="13">
        <f>IF(OR(H18="",I18=""),"",I18-H18)</f>
        <v/>
      </c>
      <c r="M18" s="13">
        <f>IF(B18="","",IF(J18="Parado - cliente",IFERROR(INDEX(Equipamentos!$D$5:$D$10,MATCH(B18,Equipamentos!$A$5:$A$10,0)),0),IF(OR(J18="Parado - manutenção",J18="Sem serviço"),0,MAX(N(K18),IFERROR(INDEX(Equipamentos!$D$5:$D$10,MATCH(B18,Equipamentos!$A$5:$A$10,0)),0)))))</f>
        <v/>
      </c>
      <c r="N18" s="14">
        <f>IF(B18="","",IFERROR(INDEX(Equipamentos!$C$5:$C$10,MATCH(B18,Equipamentos!$A$5:$A$10,0)),0))</f>
        <v/>
      </c>
      <c r="O18" s="14">
        <f>IF(B18="","",M18*N18)</f>
        <v/>
      </c>
      <c r="P18" s="9" t="n"/>
    </row>
    <row r="19">
      <c r="A19" s="15" t="n"/>
      <c r="B19" s="9" t="n"/>
      <c r="C19" s="9" t="n"/>
      <c r="D19" s="9" t="n"/>
      <c r="E19" s="16" t="n"/>
      <c r="F19" s="16" t="n"/>
      <c r="G19" s="16" t="n"/>
      <c r="H19" s="17" t="n"/>
      <c r="I19" s="17" t="n"/>
      <c r="J19" s="9" t="n"/>
      <c r="K19" s="13">
        <f>IF(OR(E19="",F19=""),"",ROUND((MOD(F19-E19,1)-N(G19))*24,2))</f>
        <v/>
      </c>
      <c r="L19" s="13">
        <f>IF(OR(H19="",I19=""),"",I19-H19)</f>
        <v/>
      </c>
      <c r="M19" s="13">
        <f>IF(B19="","",IF(J19="Parado - cliente",IFERROR(INDEX(Equipamentos!$D$5:$D$10,MATCH(B19,Equipamentos!$A$5:$A$10,0)),0),IF(OR(J19="Parado - manutenção",J19="Sem serviço"),0,MAX(N(K19),IFERROR(INDEX(Equipamentos!$D$5:$D$10,MATCH(B19,Equipamentos!$A$5:$A$10,0)),0)))))</f>
        <v/>
      </c>
      <c r="N19" s="14">
        <f>IF(B19="","",IFERROR(INDEX(Equipamentos!$C$5:$C$10,MATCH(B19,Equipamentos!$A$5:$A$10,0)),0))</f>
        <v/>
      </c>
      <c r="O19" s="14">
        <f>IF(B19="","",M19*N19)</f>
        <v/>
      </c>
      <c r="P19" s="9" t="n"/>
    </row>
    <row r="20">
      <c r="A20" s="15" t="n"/>
      <c r="B20" s="9" t="n"/>
      <c r="C20" s="9" t="n"/>
      <c r="D20" s="9" t="n"/>
      <c r="E20" s="16" t="n"/>
      <c r="F20" s="16" t="n"/>
      <c r="G20" s="16" t="n"/>
      <c r="H20" s="17" t="n"/>
      <c r="I20" s="17" t="n"/>
      <c r="J20" s="9" t="n"/>
      <c r="K20" s="13">
        <f>IF(OR(E20="",F20=""),"",ROUND((MOD(F20-E20,1)-N(G20))*24,2))</f>
        <v/>
      </c>
      <c r="L20" s="13">
        <f>IF(OR(H20="",I20=""),"",I20-H20)</f>
        <v/>
      </c>
      <c r="M20" s="13">
        <f>IF(B20="","",IF(J20="Parado - cliente",IFERROR(INDEX(Equipamentos!$D$5:$D$10,MATCH(B20,Equipamentos!$A$5:$A$10,0)),0),IF(OR(J20="Parado - manutenção",J20="Sem serviço"),0,MAX(N(K20),IFERROR(INDEX(Equipamentos!$D$5:$D$10,MATCH(B20,Equipamentos!$A$5:$A$10,0)),0)))))</f>
        <v/>
      </c>
      <c r="N20" s="14">
        <f>IF(B20="","",IFERROR(INDEX(Equipamentos!$C$5:$C$10,MATCH(B20,Equipamentos!$A$5:$A$10,0)),0))</f>
        <v/>
      </c>
      <c r="O20" s="14">
        <f>IF(B20="","",M20*N20)</f>
        <v/>
      </c>
      <c r="P20" s="9" t="n"/>
    </row>
    <row r="21">
      <c r="A21" s="15" t="n"/>
      <c r="B21" s="9" t="n"/>
      <c r="C21" s="9" t="n"/>
      <c r="D21" s="9" t="n"/>
      <c r="E21" s="16" t="n"/>
      <c r="F21" s="16" t="n"/>
      <c r="G21" s="16" t="n"/>
      <c r="H21" s="17" t="n"/>
      <c r="I21" s="17" t="n"/>
      <c r="J21" s="9" t="n"/>
      <c r="K21" s="13">
        <f>IF(OR(E21="",F21=""),"",ROUND((MOD(F21-E21,1)-N(G21))*24,2))</f>
        <v/>
      </c>
      <c r="L21" s="13">
        <f>IF(OR(H21="",I21=""),"",I21-H21)</f>
        <v/>
      </c>
      <c r="M21" s="13">
        <f>IF(B21="","",IF(J21="Parado - cliente",IFERROR(INDEX(Equipamentos!$D$5:$D$10,MATCH(B21,Equipamentos!$A$5:$A$10,0)),0),IF(OR(J21="Parado - manutenção",J21="Sem serviço"),0,MAX(N(K21),IFERROR(INDEX(Equipamentos!$D$5:$D$10,MATCH(B21,Equipamentos!$A$5:$A$10,0)),0)))))</f>
        <v/>
      </c>
      <c r="N21" s="14">
        <f>IF(B21="","",IFERROR(INDEX(Equipamentos!$C$5:$C$10,MATCH(B21,Equipamentos!$A$5:$A$10,0)),0))</f>
        <v/>
      </c>
      <c r="O21" s="14">
        <f>IF(B21="","",M21*N21)</f>
        <v/>
      </c>
      <c r="P21" s="9" t="n"/>
    </row>
    <row r="22">
      <c r="A22" s="15" t="n"/>
      <c r="B22" s="9" t="n"/>
      <c r="C22" s="9" t="n"/>
      <c r="D22" s="9" t="n"/>
      <c r="E22" s="16" t="n"/>
      <c r="F22" s="16" t="n"/>
      <c r="G22" s="16" t="n"/>
      <c r="H22" s="17" t="n"/>
      <c r="I22" s="17" t="n"/>
      <c r="J22" s="9" t="n"/>
      <c r="K22" s="13">
        <f>IF(OR(E22="",F22=""),"",ROUND((MOD(F22-E22,1)-N(G22))*24,2))</f>
        <v/>
      </c>
      <c r="L22" s="13">
        <f>IF(OR(H22="",I22=""),"",I22-H22)</f>
        <v/>
      </c>
      <c r="M22" s="13">
        <f>IF(B22="","",IF(J22="Parado - cliente",IFERROR(INDEX(Equipamentos!$D$5:$D$10,MATCH(B22,Equipamentos!$A$5:$A$10,0)),0),IF(OR(J22="Parado - manutenção",J22="Sem serviço"),0,MAX(N(K22),IFERROR(INDEX(Equipamentos!$D$5:$D$10,MATCH(B22,Equipamentos!$A$5:$A$10,0)),0)))))</f>
        <v/>
      </c>
      <c r="N22" s="14">
        <f>IF(B22="","",IFERROR(INDEX(Equipamentos!$C$5:$C$10,MATCH(B22,Equipamentos!$A$5:$A$10,0)),0))</f>
        <v/>
      </c>
      <c r="O22" s="14">
        <f>IF(B22="","",M22*N22)</f>
        <v/>
      </c>
      <c r="P22" s="9" t="n"/>
    </row>
    <row r="23">
      <c r="A23" s="15" t="n"/>
      <c r="B23" s="9" t="n"/>
      <c r="C23" s="9" t="n"/>
      <c r="D23" s="9" t="n"/>
      <c r="E23" s="16" t="n"/>
      <c r="F23" s="16" t="n"/>
      <c r="G23" s="16" t="n"/>
      <c r="H23" s="17" t="n"/>
      <c r="I23" s="17" t="n"/>
      <c r="J23" s="9" t="n"/>
      <c r="K23" s="13">
        <f>IF(OR(E23="",F23=""),"",ROUND((MOD(F23-E23,1)-N(G23))*24,2))</f>
        <v/>
      </c>
      <c r="L23" s="13">
        <f>IF(OR(H23="",I23=""),"",I23-H23)</f>
        <v/>
      </c>
      <c r="M23" s="13">
        <f>IF(B23="","",IF(J23="Parado - cliente",IFERROR(INDEX(Equipamentos!$D$5:$D$10,MATCH(B23,Equipamentos!$A$5:$A$10,0)),0),IF(OR(J23="Parado - manutenção",J23="Sem serviço"),0,MAX(N(K23),IFERROR(INDEX(Equipamentos!$D$5:$D$10,MATCH(B23,Equipamentos!$A$5:$A$10,0)),0)))))</f>
        <v/>
      </c>
      <c r="N23" s="14">
        <f>IF(B23="","",IFERROR(INDEX(Equipamentos!$C$5:$C$10,MATCH(B23,Equipamentos!$A$5:$A$10,0)),0))</f>
        <v/>
      </c>
      <c r="O23" s="14">
        <f>IF(B23="","",M23*N23)</f>
        <v/>
      </c>
      <c r="P23" s="9" t="n"/>
    </row>
    <row r="24">
      <c r="A24" s="15" t="n"/>
      <c r="B24" s="9" t="n"/>
      <c r="C24" s="9" t="n"/>
      <c r="D24" s="9" t="n"/>
      <c r="E24" s="16" t="n"/>
      <c r="F24" s="16" t="n"/>
      <c r="G24" s="16" t="n"/>
      <c r="H24" s="17" t="n"/>
      <c r="I24" s="17" t="n"/>
      <c r="J24" s="9" t="n"/>
      <c r="K24" s="13">
        <f>IF(OR(E24="",F24=""),"",ROUND((MOD(F24-E24,1)-N(G24))*24,2))</f>
        <v/>
      </c>
      <c r="L24" s="13">
        <f>IF(OR(H24="",I24=""),"",I24-H24)</f>
        <v/>
      </c>
      <c r="M24" s="13">
        <f>IF(B24="","",IF(J24="Parado - cliente",IFERROR(INDEX(Equipamentos!$D$5:$D$10,MATCH(B24,Equipamentos!$A$5:$A$10,0)),0),IF(OR(J24="Parado - manutenção",J24="Sem serviço"),0,MAX(N(K24),IFERROR(INDEX(Equipamentos!$D$5:$D$10,MATCH(B24,Equipamentos!$A$5:$A$10,0)),0)))))</f>
        <v/>
      </c>
      <c r="N24" s="14">
        <f>IF(B24="","",IFERROR(INDEX(Equipamentos!$C$5:$C$10,MATCH(B24,Equipamentos!$A$5:$A$10,0)),0))</f>
        <v/>
      </c>
      <c r="O24" s="14">
        <f>IF(B24="","",M24*N24)</f>
        <v/>
      </c>
      <c r="P24" s="9" t="n"/>
    </row>
    <row r="25">
      <c r="A25" s="15" t="n"/>
      <c r="B25" s="9" t="n"/>
      <c r="C25" s="9" t="n"/>
      <c r="D25" s="9" t="n"/>
      <c r="E25" s="16" t="n"/>
      <c r="F25" s="16" t="n"/>
      <c r="G25" s="16" t="n"/>
      <c r="H25" s="17" t="n"/>
      <c r="I25" s="17" t="n"/>
      <c r="J25" s="9" t="n"/>
      <c r="K25" s="13">
        <f>IF(OR(E25="",F25=""),"",ROUND((MOD(F25-E25,1)-N(G25))*24,2))</f>
        <v/>
      </c>
      <c r="L25" s="13">
        <f>IF(OR(H25="",I25=""),"",I25-H25)</f>
        <v/>
      </c>
      <c r="M25" s="13">
        <f>IF(B25="","",IF(J25="Parado - cliente",IFERROR(INDEX(Equipamentos!$D$5:$D$10,MATCH(B25,Equipamentos!$A$5:$A$10,0)),0),IF(OR(J25="Parado - manutenção",J25="Sem serviço"),0,MAX(N(K25),IFERROR(INDEX(Equipamentos!$D$5:$D$10,MATCH(B25,Equipamentos!$A$5:$A$10,0)),0)))))</f>
        <v/>
      </c>
      <c r="N25" s="14">
        <f>IF(B25="","",IFERROR(INDEX(Equipamentos!$C$5:$C$10,MATCH(B25,Equipamentos!$A$5:$A$10,0)),0))</f>
        <v/>
      </c>
      <c r="O25" s="14">
        <f>IF(B25="","",M25*N25)</f>
        <v/>
      </c>
      <c r="P25" s="9" t="n"/>
    </row>
    <row r="26">
      <c r="A26" s="15" t="n"/>
      <c r="B26" s="9" t="n"/>
      <c r="C26" s="9" t="n"/>
      <c r="D26" s="9" t="n"/>
      <c r="E26" s="16" t="n"/>
      <c r="F26" s="16" t="n"/>
      <c r="G26" s="16" t="n"/>
      <c r="H26" s="17" t="n"/>
      <c r="I26" s="17" t="n"/>
      <c r="J26" s="9" t="n"/>
      <c r="K26" s="13">
        <f>IF(OR(E26="",F26=""),"",ROUND((MOD(F26-E26,1)-N(G26))*24,2))</f>
        <v/>
      </c>
      <c r="L26" s="13">
        <f>IF(OR(H26="",I26=""),"",I26-H26)</f>
        <v/>
      </c>
      <c r="M26" s="13">
        <f>IF(B26="","",IF(J26="Parado - cliente",IFERROR(INDEX(Equipamentos!$D$5:$D$10,MATCH(B26,Equipamentos!$A$5:$A$10,0)),0),IF(OR(J26="Parado - manutenção",J26="Sem serviço"),0,MAX(N(K26),IFERROR(INDEX(Equipamentos!$D$5:$D$10,MATCH(B26,Equipamentos!$A$5:$A$10,0)),0)))))</f>
        <v/>
      </c>
      <c r="N26" s="14">
        <f>IF(B26="","",IFERROR(INDEX(Equipamentos!$C$5:$C$10,MATCH(B26,Equipamentos!$A$5:$A$10,0)),0))</f>
        <v/>
      </c>
      <c r="O26" s="14">
        <f>IF(B26="","",M26*N26)</f>
        <v/>
      </c>
      <c r="P26" s="9" t="n"/>
    </row>
    <row r="27">
      <c r="A27" s="15" t="n"/>
      <c r="B27" s="9" t="n"/>
      <c r="C27" s="9" t="n"/>
      <c r="D27" s="9" t="n"/>
      <c r="E27" s="16" t="n"/>
      <c r="F27" s="16" t="n"/>
      <c r="G27" s="16" t="n"/>
      <c r="H27" s="17" t="n"/>
      <c r="I27" s="17" t="n"/>
      <c r="J27" s="9" t="n"/>
      <c r="K27" s="13">
        <f>IF(OR(E27="",F27=""),"",ROUND((MOD(F27-E27,1)-N(G27))*24,2))</f>
        <v/>
      </c>
      <c r="L27" s="13">
        <f>IF(OR(H27="",I27=""),"",I27-H27)</f>
        <v/>
      </c>
      <c r="M27" s="13">
        <f>IF(B27="","",IF(J27="Parado - cliente",IFERROR(INDEX(Equipamentos!$D$5:$D$10,MATCH(B27,Equipamentos!$A$5:$A$10,0)),0),IF(OR(J27="Parado - manutenção",J27="Sem serviço"),0,MAX(N(K27),IFERROR(INDEX(Equipamentos!$D$5:$D$10,MATCH(B27,Equipamentos!$A$5:$A$10,0)),0)))))</f>
        <v/>
      </c>
      <c r="N27" s="14">
        <f>IF(B27="","",IFERROR(INDEX(Equipamentos!$C$5:$C$10,MATCH(B27,Equipamentos!$A$5:$A$10,0)),0))</f>
        <v/>
      </c>
      <c r="O27" s="14">
        <f>IF(B27="","",M27*N27)</f>
        <v/>
      </c>
      <c r="P27" s="9" t="n"/>
    </row>
    <row r="28">
      <c r="A28" s="15" t="n"/>
      <c r="B28" s="9" t="n"/>
      <c r="C28" s="9" t="n"/>
      <c r="D28" s="9" t="n"/>
      <c r="E28" s="16" t="n"/>
      <c r="F28" s="16" t="n"/>
      <c r="G28" s="16" t="n"/>
      <c r="H28" s="17" t="n"/>
      <c r="I28" s="17" t="n"/>
      <c r="J28" s="9" t="n"/>
      <c r="K28" s="13">
        <f>IF(OR(E28="",F28=""),"",ROUND((MOD(F28-E28,1)-N(G28))*24,2))</f>
        <v/>
      </c>
      <c r="L28" s="13">
        <f>IF(OR(H28="",I28=""),"",I28-H28)</f>
        <v/>
      </c>
      <c r="M28" s="13">
        <f>IF(B28="","",IF(J28="Parado - cliente",IFERROR(INDEX(Equipamentos!$D$5:$D$10,MATCH(B28,Equipamentos!$A$5:$A$10,0)),0),IF(OR(J28="Parado - manutenção",J28="Sem serviço"),0,MAX(N(K28),IFERROR(INDEX(Equipamentos!$D$5:$D$10,MATCH(B28,Equipamentos!$A$5:$A$10,0)),0)))))</f>
        <v/>
      </c>
      <c r="N28" s="14">
        <f>IF(B28="","",IFERROR(INDEX(Equipamentos!$C$5:$C$10,MATCH(B28,Equipamentos!$A$5:$A$10,0)),0))</f>
        <v/>
      </c>
      <c r="O28" s="14">
        <f>IF(B28="","",M28*N28)</f>
        <v/>
      </c>
      <c r="P28" s="9" t="n"/>
    </row>
    <row r="29">
      <c r="A29" s="15" t="n"/>
      <c r="B29" s="9" t="n"/>
      <c r="C29" s="9" t="n"/>
      <c r="D29" s="9" t="n"/>
      <c r="E29" s="16" t="n"/>
      <c r="F29" s="16" t="n"/>
      <c r="G29" s="16" t="n"/>
      <c r="H29" s="17" t="n"/>
      <c r="I29" s="17" t="n"/>
      <c r="J29" s="9" t="n"/>
      <c r="K29" s="13">
        <f>IF(OR(E29="",F29=""),"",ROUND((MOD(F29-E29,1)-N(G29))*24,2))</f>
        <v/>
      </c>
      <c r="L29" s="13">
        <f>IF(OR(H29="",I29=""),"",I29-H29)</f>
        <v/>
      </c>
      <c r="M29" s="13">
        <f>IF(B29="","",IF(J29="Parado - cliente",IFERROR(INDEX(Equipamentos!$D$5:$D$10,MATCH(B29,Equipamentos!$A$5:$A$10,0)),0),IF(OR(J29="Parado - manutenção",J29="Sem serviço"),0,MAX(N(K29),IFERROR(INDEX(Equipamentos!$D$5:$D$10,MATCH(B29,Equipamentos!$A$5:$A$10,0)),0)))))</f>
        <v/>
      </c>
      <c r="N29" s="14">
        <f>IF(B29="","",IFERROR(INDEX(Equipamentos!$C$5:$C$10,MATCH(B29,Equipamentos!$A$5:$A$10,0)),0))</f>
        <v/>
      </c>
      <c r="O29" s="14">
        <f>IF(B29="","",M29*N29)</f>
        <v/>
      </c>
      <c r="P29" s="9" t="n"/>
    </row>
    <row r="30">
      <c r="A30" s="15" t="n"/>
      <c r="B30" s="9" t="n"/>
      <c r="C30" s="9" t="n"/>
      <c r="D30" s="9" t="n"/>
      <c r="E30" s="16" t="n"/>
      <c r="F30" s="16" t="n"/>
      <c r="G30" s="16" t="n"/>
      <c r="H30" s="17" t="n"/>
      <c r="I30" s="17" t="n"/>
      <c r="J30" s="9" t="n"/>
      <c r="K30" s="13">
        <f>IF(OR(E30="",F30=""),"",ROUND((MOD(F30-E30,1)-N(G30))*24,2))</f>
        <v/>
      </c>
      <c r="L30" s="13">
        <f>IF(OR(H30="",I30=""),"",I30-H30)</f>
        <v/>
      </c>
      <c r="M30" s="13">
        <f>IF(B30="","",IF(J30="Parado - cliente",IFERROR(INDEX(Equipamentos!$D$5:$D$10,MATCH(B30,Equipamentos!$A$5:$A$10,0)),0),IF(OR(J30="Parado - manutenção",J30="Sem serviço"),0,MAX(N(K30),IFERROR(INDEX(Equipamentos!$D$5:$D$10,MATCH(B30,Equipamentos!$A$5:$A$10,0)),0)))))</f>
        <v/>
      </c>
      <c r="N30" s="14">
        <f>IF(B30="","",IFERROR(INDEX(Equipamentos!$C$5:$C$10,MATCH(B30,Equipamentos!$A$5:$A$10,0)),0))</f>
        <v/>
      </c>
      <c r="O30" s="14">
        <f>IF(B30="","",M30*N30)</f>
        <v/>
      </c>
      <c r="P30" s="9" t="n"/>
    </row>
    <row r="31">
      <c r="A31" s="15" t="n"/>
      <c r="B31" s="9" t="n"/>
      <c r="C31" s="9" t="n"/>
      <c r="D31" s="9" t="n"/>
      <c r="E31" s="16" t="n"/>
      <c r="F31" s="16" t="n"/>
      <c r="G31" s="16" t="n"/>
      <c r="H31" s="17" t="n"/>
      <c r="I31" s="17" t="n"/>
      <c r="J31" s="9" t="n"/>
      <c r="K31" s="13">
        <f>IF(OR(E31="",F31=""),"",ROUND((MOD(F31-E31,1)-N(G31))*24,2))</f>
        <v/>
      </c>
      <c r="L31" s="13">
        <f>IF(OR(H31="",I31=""),"",I31-H31)</f>
        <v/>
      </c>
      <c r="M31" s="13">
        <f>IF(B31="","",IF(J31="Parado - cliente",IFERROR(INDEX(Equipamentos!$D$5:$D$10,MATCH(B31,Equipamentos!$A$5:$A$10,0)),0),IF(OR(J31="Parado - manutenção",J31="Sem serviço"),0,MAX(N(K31),IFERROR(INDEX(Equipamentos!$D$5:$D$10,MATCH(B31,Equipamentos!$A$5:$A$10,0)),0)))))</f>
        <v/>
      </c>
      <c r="N31" s="14">
        <f>IF(B31="","",IFERROR(INDEX(Equipamentos!$C$5:$C$10,MATCH(B31,Equipamentos!$A$5:$A$10,0)),0))</f>
        <v/>
      </c>
      <c r="O31" s="14">
        <f>IF(B31="","",M31*N31)</f>
        <v/>
      </c>
      <c r="P31" s="9" t="n"/>
    </row>
    <row r="32">
      <c r="A32" s="15" t="n"/>
      <c r="B32" s="9" t="n"/>
      <c r="C32" s="9" t="n"/>
      <c r="D32" s="9" t="n"/>
      <c r="E32" s="16" t="n"/>
      <c r="F32" s="16" t="n"/>
      <c r="G32" s="16" t="n"/>
      <c r="H32" s="17" t="n"/>
      <c r="I32" s="17" t="n"/>
      <c r="J32" s="9" t="n"/>
      <c r="K32" s="13">
        <f>IF(OR(E32="",F32=""),"",ROUND((MOD(F32-E32,1)-N(G32))*24,2))</f>
        <v/>
      </c>
      <c r="L32" s="13">
        <f>IF(OR(H32="",I32=""),"",I32-H32)</f>
        <v/>
      </c>
      <c r="M32" s="13">
        <f>IF(B32="","",IF(J32="Parado - cliente",IFERROR(INDEX(Equipamentos!$D$5:$D$10,MATCH(B32,Equipamentos!$A$5:$A$10,0)),0),IF(OR(J32="Parado - manutenção",J32="Sem serviço"),0,MAX(N(K32),IFERROR(INDEX(Equipamentos!$D$5:$D$10,MATCH(B32,Equipamentos!$A$5:$A$10,0)),0)))))</f>
        <v/>
      </c>
      <c r="N32" s="14">
        <f>IF(B32="","",IFERROR(INDEX(Equipamentos!$C$5:$C$10,MATCH(B32,Equipamentos!$A$5:$A$10,0)),0))</f>
        <v/>
      </c>
      <c r="O32" s="14">
        <f>IF(B32="","",M32*N32)</f>
        <v/>
      </c>
      <c r="P32" s="9" t="n"/>
    </row>
    <row r="33">
      <c r="A33" s="15" t="n"/>
      <c r="B33" s="9" t="n"/>
      <c r="C33" s="9" t="n"/>
      <c r="D33" s="9" t="n"/>
      <c r="E33" s="16" t="n"/>
      <c r="F33" s="16" t="n"/>
      <c r="G33" s="16" t="n"/>
      <c r="H33" s="17" t="n"/>
      <c r="I33" s="17" t="n"/>
      <c r="J33" s="9" t="n"/>
      <c r="K33" s="13">
        <f>IF(OR(E33="",F33=""),"",ROUND((MOD(F33-E33,1)-N(G33))*24,2))</f>
        <v/>
      </c>
      <c r="L33" s="13">
        <f>IF(OR(H33="",I33=""),"",I33-H33)</f>
        <v/>
      </c>
      <c r="M33" s="13">
        <f>IF(B33="","",IF(J33="Parado - cliente",IFERROR(INDEX(Equipamentos!$D$5:$D$10,MATCH(B33,Equipamentos!$A$5:$A$10,0)),0),IF(OR(J33="Parado - manutenção",J33="Sem serviço"),0,MAX(N(K33),IFERROR(INDEX(Equipamentos!$D$5:$D$10,MATCH(B33,Equipamentos!$A$5:$A$10,0)),0)))))</f>
        <v/>
      </c>
      <c r="N33" s="14">
        <f>IF(B33="","",IFERROR(INDEX(Equipamentos!$C$5:$C$10,MATCH(B33,Equipamentos!$A$5:$A$10,0)),0))</f>
        <v/>
      </c>
      <c r="O33" s="14">
        <f>IF(B33="","",M33*N33)</f>
        <v/>
      </c>
      <c r="P33" s="9" t="n"/>
    </row>
    <row r="34">
      <c r="A34" s="15" t="n"/>
      <c r="B34" s="9" t="n"/>
      <c r="C34" s="9" t="n"/>
      <c r="D34" s="9" t="n"/>
      <c r="E34" s="16" t="n"/>
      <c r="F34" s="16" t="n"/>
      <c r="G34" s="16" t="n"/>
      <c r="H34" s="17" t="n"/>
      <c r="I34" s="17" t="n"/>
      <c r="J34" s="9" t="n"/>
      <c r="K34" s="13">
        <f>IF(OR(E34="",F34=""),"",ROUND((MOD(F34-E34,1)-N(G34))*24,2))</f>
        <v/>
      </c>
      <c r="L34" s="13">
        <f>IF(OR(H34="",I34=""),"",I34-H34)</f>
        <v/>
      </c>
      <c r="M34" s="13">
        <f>IF(B34="","",IF(J34="Parado - cliente",IFERROR(INDEX(Equipamentos!$D$5:$D$10,MATCH(B34,Equipamentos!$A$5:$A$10,0)),0),IF(OR(J34="Parado - manutenção",J34="Sem serviço"),0,MAX(N(K34),IFERROR(INDEX(Equipamentos!$D$5:$D$10,MATCH(B34,Equipamentos!$A$5:$A$10,0)),0)))))</f>
        <v/>
      </c>
      <c r="N34" s="14">
        <f>IF(B34="","",IFERROR(INDEX(Equipamentos!$C$5:$C$10,MATCH(B34,Equipamentos!$A$5:$A$10,0)),0))</f>
        <v/>
      </c>
      <c r="O34" s="14">
        <f>IF(B34="","",M34*N34)</f>
        <v/>
      </c>
      <c r="P34" s="9" t="n"/>
    </row>
    <row r="35">
      <c r="A35" s="15" t="n"/>
      <c r="B35" s="9" t="n"/>
      <c r="C35" s="9" t="n"/>
      <c r="D35" s="9" t="n"/>
      <c r="E35" s="16" t="n"/>
      <c r="F35" s="16" t="n"/>
      <c r="G35" s="16" t="n"/>
      <c r="H35" s="17" t="n"/>
      <c r="I35" s="17" t="n"/>
      <c r="J35" s="9" t="n"/>
      <c r="K35" s="13">
        <f>IF(OR(E35="",F35=""),"",ROUND((MOD(F35-E35,1)-N(G35))*24,2))</f>
        <v/>
      </c>
      <c r="L35" s="13">
        <f>IF(OR(H35="",I35=""),"",I35-H35)</f>
        <v/>
      </c>
      <c r="M35" s="13">
        <f>IF(B35="","",IF(J35="Parado - cliente",IFERROR(INDEX(Equipamentos!$D$5:$D$10,MATCH(B35,Equipamentos!$A$5:$A$10,0)),0),IF(OR(J35="Parado - manutenção",J35="Sem serviço"),0,MAX(N(K35),IFERROR(INDEX(Equipamentos!$D$5:$D$10,MATCH(B35,Equipamentos!$A$5:$A$10,0)),0)))))</f>
        <v/>
      </c>
      <c r="N35" s="14">
        <f>IF(B35="","",IFERROR(INDEX(Equipamentos!$C$5:$C$10,MATCH(B35,Equipamentos!$A$5:$A$10,0)),0))</f>
        <v/>
      </c>
      <c r="O35" s="14">
        <f>IF(B35="","",M35*N35)</f>
        <v/>
      </c>
      <c r="P35" s="9" t="n"/>
    </row>
    <row r="36">
      <c r="A36" s="15" t="n"/>
      <c r="B36" s="9" t="n"/>
      <c r="C36" s="9" t="n"/>
      <c r="D36" s="9" t="n"/>
      <c r="E36" s="16" t="n"/>
      <c r="F36" s="16" t="n"/>
      <c r="G36" s="16" t="n"/>
      <c r="H36" s="17" t="n"/>
      <c r="I36" s="17" t="n"/>
      <c r="J36" s="9" t="n"/>
      <c r="K36" s="13">
        <f>IF(OR(E36="",F36=""),"",ROUND((MOD(F36-E36,1)-N(G36))*24,2))</f>
        <v/>
      </c>
      <c r="L36" s="13">
        <f>IF(OR(H36="",I36=""),"",I36-H36)</f>
        <v/>
      </c>
      <c r="M36" s="13">
        <f>IF(B36="","",IF(J36="Parado - cliente",IFERROR(INDEX(Equipamentos!$D$5:$D$10,MATCH(B36,Equipamentos!$A$5:$A$10,0)),0),IF(OR(J36="Parado - manutenção",J36="Sem serviço"),0,MAX(N(K36),IFERROR(INDEX(Equipamentos!$D$5:$D$10,MATCH(B36,Equipamentos!$A$5:$A$10,0)),0)))))</f>
        <v/>
      </c>
      <c r="N36" s="14">
        <f>IF(B36="","",IFERROR(INDEX(Equipamentos!$C$5:$C$10,MATCH(B36,Equipamentos!$A$5:$A$10,0)),0))</f>
        <v/>
      </c>
      <c r="O36" s="14">
        <f>IF(B36="","",M36*N36)</f>
        <v/>
      </c>
      <c r="P36" s="9" t="n"/>
    </row>
    <row r="37">
      <c r="A37" s="15" t="n"/>
      <c r="B37" s="9" t="n"/>
      <c r="C37" s="9" t="n"/>
      <c r="D37" s="9" t="n"/>
      <c r="E37" s="16" t="n"/>
      <c r="F37" s="16" t="n"/>
      <c r="G37" s="16" t="n"/>
      <c r="H37" s="17" t="n"/>
      <c r="I37" s="17" t="n"/>
      <c r="J37" s="9" t="n"/>
      <c r="K37" s="13">
        <f>IF(OR(E37="",F37=""),"",ROUND((MOD(F37-E37,1)-N(G37))*24,2))</f>
        <v/>
      </c>
      <c r="L37" s="13">
        <f>IF(OR(H37="",I37=""),"",I37-H37)</f>
        <v/>
      </c>
      <c r="M37" s="13">
        <f>IF(B37="","",IF(J37="Parado - cliente",IFERROR(INDEX(Equipamentos!$D$5:$D$10,MATCH(B37,Equipamentos!$A$5:$A$10,0)),0),IF(OR(J37="Parado - manutenção",J37="Sem serviço"),0,MAX(N(K37),IFERROR(INDEX(Equipamentos!$D$5:$D$10,MATCH(B37,Equipamentos!$A$5:$A$10,0)),0)))))</f>
        <v/>
      </c>
      <c r="N37" s="14">
        <f>IF(B37="","",IFERROR(INDEX(Equipamentos!$C$5:$C$10,MATCH(B37,Equipamentos!$A$5:$A$10,0)),0))</f>
        <v/>
      </c>
      <c r="O37" s="14">
        <f>IF(B37="","",M37*N37)</f>
        <v/>
      </c>
      <c r="P37" s="9" t="n"/>
    </row>
    <row r="38">
      <c r="A38" s="15" t="n"/>
      <c r="B38" s="9" t="n"/>
      <c r="C38" s="9" t="n"/>
      <c r="D38" s="9" t="n"/>
      <c r="E38" s="16" t="n"/>
      <c r="F38" s="16" t="n"/>
      <c r="G38" s="16" t="n"/>
      <c r="H38" s="17" t="n"/>
      <c r="I38" s="17" t="n"/>
      <c r="J38" s="9" t="n"/>
      <c r="K38" s="13">
        <f>IF(OR(E38="",F38=""),"",ROUND((MOD(F38-E38,1)-N(G38))*24,2))</f>
        <v/>
      </c>
      <c r="L38" s="13">
        <f>IF(OR(H38="",I38=""),"",I38-H38)</f>
        <v/>
      </c>
      <c r="M38" s="13">
        <f>IF(B38="","",IF(J38="Parado - cliente",IFERROR(INDEX(Equipamentos!$D$5:$D$10,MATCH(B38,Equipamentos!$A$5:$A$10,0)),0),IF(OR(J38="Parado - manutenção",J38="Sem serviço"),0,MAX(N(K38),IFERROR(INDEX(Equipamentos!$D$5:$D$10,MATCH(B38,Equipamentos!$A$5:$A$10,0)),0)))))</f>
        <v/>
      </c>
      <c r="N38" s="14">
        <f>IF(B38="","",IFERROR(INDEX(Equipamentos!$C$5:$C$10,MATCH(B38,Equipamentos!$A$5:$A$10,0)),0))</f>
        <v/>
      </c>
      <c r="O38" s="14">
        <f>IF(B38="","",M38*N38)</f>
        <v/>
      </c>
      <c r="P38" s="9" t="n"/>
    </row>
    <row r="39">
      <c r="A39" s="15" t="n"/>
      <c r="B39" s="9" t="n"/>
      <c r="C39" s="9" t="n"/>
      <c r="D39" s="9" t="n"/>
      <c r="E39" s="16" t="n"/>
      <c r="F39" s="16" t="n"/>
      <c r="G39" s="16" t="n"/>
      <c r="H39" s="17" t="n"/>
      <c r="I39" s="17" t="n"/>
      <c r="J39" s="9" t="n"/>
      <c r="K39" s="13">
        <f>IF(OR(E39="",F39=""),"",ROUND((MOD(F39-E39,1)-N(G39))*24,2))</f>
        <v/>
      </c>
      <c r="L39" s="13">
        <f>IF(OR(H39="",I39=""),"",I39-H39)</f>
        <v/>
      </c>
      <c r="M39" s="13">
        <f>IF(B39="","",IF(J39="Parado - cliente",IFERROR(INDEX(Equipamentos!$D$5:$D$10,MATCH(B39,Equipamentos!$A$5:$A$10,0)),0),IF(OR(J39="Parado - manutenção",J39="Sem serviço"),0,MAX(N(K39),IFERROR(INDEX(Equipamentos!$D$5:$D$10,MATCH(B39,Equipamentos!$A$5:$A$10,0)),0)))))</f>
        <v/>
      </c>
      <c r="N39" s="14">
        <f>IF(B39="","",IFERROR(INDEX(Equipamentos!$C$5:$C$10,MATCH(B39,Equipamentos!$A$5:$A$10,0)),0))</f>
        <v/>
      </c>
      <c r="O39" s="14">
        <f>IF(B39="","",M39*N39)</f>
        <v/>
      </c>
      <c r="P39" s="9" t="n"/>
    </row>
    <row r="40">
      <c r="A40" s="15" t="n"/>
      <c r="B40" s="9" t="n"/>
      <c r="C40" s="9" t="n"/>
      <c r="D40" s="9" t="n"/>
      <c r="E40" s="16" t="n"/>
      <c r="F40" s="16" t="n"/>
      <c r="G40" s="16" t="n"/>
      <c r="H40" s="17" t="n"/>
      <c r="I40" s="17" t="n"/>
      <c r="J40" s="9" t="n"/>
      <c r="K40" s="13">
        <f>IF(OR(E40="",F40=""),"",ROUND((MOD(F40-E40,1)-N(G40))*24,2))</f>
        <v/>
      </c>
      <c r="L40" s="13">
        <f>IF(OR(H40="",I40=""),"",I40-H40)</f>
        <v/>
      </c>
      <c r="M40" s="13">
        <f>IF(B40="","",IF(J40="Parado - cliente",IFERROR(INDEX(Equipamentos!$D$5:$D$10,MATCH(B40,Equipamentos!$A$5:$A$10,0)),0),IF(OR(J40="Parado - manutenção",J40="Sem serviço"),0,MAX(N(K40),IFERROR(INDEX(Equipamentos!$D$5:$D$10,MATCH(B40,Equipamentos!$A$5:$A$10,0)),0)))))</f>
        <v/>
      </c>
      <c r="N40" s="14">
        <f>IF(B40="","",IFERROR(INDEX(Equipamentos!$C$5:$C$10,MATCH(B40,Equipamentos!$A$5:$A$10,0)),0))</f>
        <v/>
      </c>
      <c r="O40" s="14">
        <f>IF(B40="","",M40*N40)</f>
        <v/>
      </c>
      <c r="P40" s="9" t="n"/>
    </row>
    <row r="41">
      <c r="A41" s="15" t="n"/>
      <c r="B41" s="9" t="n"/>
      <c r="C41" s="9" t="n"/>
      <c r="D41" s="9" t="n"/>
      <c r="E41" s="16" t="n"/>
      <c r="F41" s="16" t="n"/>
      <c r="G41" s="16" t="n"/>
      <c r="H41" s="17" t="n"/>
      <c r="I41" s="17" t="n"/>
      <c r="J41" s="9" t="n"/>
      <c r="K41" s="13">
        <f>IF(OR(E41="",F41=""),"",ROUND((MOD(F41-E41,1)-N(G41))*24,2))</f>
        <v/>
      </c>
      <c r="L41" s="13">
        <f>IF(OR(H41="",I41=""),"",I41-H41)</f>
        <v/>
      </c>
      <c r="M41" s="13">
        <f>IF(B41="","",IF(J41="Parado - cliente",IFERROR(INDEX(Equipamentos!$D$5:$D$10,MATCH(B41,Equipamentos!$A$5:$A$10,0)),0),IF(OR(J41="Parado - manutenção",J41="Sem serviço"),0,MAX(N(K41),IFERROR(INDEX(Equipamentos!$D$5:$D$10,MATCH(B41,Equipamentos!$A$5:$A$10,0)),0)))))</f>
        <v/>
      </c>
      <c r="N41" s="14">
        <f>IF(B41="","",IFERROR(INDEX(Equipamentos!$C$5:$C$10,MATCH(B41,Equipamentos!$A$5:$A$10,0)),0))</f>
        <v/>
      </c>
      <c r="O41" s="14">
        <f>IF(B41="","",M41*N41)</f>
        <v/>
      </c>
      <c r="P41" s="9" t="n"/>
    </row>
    <row r="42">
      <c r="A42" s="15" t="n"/>
      <c r="B42" s="9" t="n"/>
      <c r="C42" s="9" t="n"/>
      <c r="D42" s="9" t="n"/>
      <c r="E42" s="16" t="n"/>
      <c r="F42" s="16" t="n"/>
      <c r="G42" s="16" t="n"/>
      <c r="H42" s="17" t="n"/>
      <c r="I42" s="17" t="n"/>
      <c r="J42" s="9" t="n"/>
      <c r="K42" s="13">
        <f>IF(OR(E42="",F42=""),"",ROUND((MOD(F42-E42,1)-N(G42))*24,2))</f>
        <v/>
      </c>
      <c r="L42" s="13">
        <f>IF(OR(H42="",I42=""),"",I42-H42)</f>
        <v/>
      </c>
      <c r="M42" s="13">
        <f>IF(B42="","",IF(J42="Parado - cliente",IFERROR(INDEX(Equipamentos!$D$5:$D$10,MATCH(B42,Equipamentos!$A$5:$A$10,0)),0),IF(OR(J42="Parado - manutenção",J42="Sem serviço"),0,MAX(N(K42),IFERROR(INDEX(Equipamentos!$D$5:$D$10,MATCH(B42,Equipamentos!$A$5:$A$10,0)),0)))))</f>
        <v/>
      </c>
      <c r="N42" s="14">
        <f>IF(B42="","",IFERROR(INDEX(Equipamentos!$C$5:$C$10,MATCH(B42,Equipamentos!$A$5:$A$10,0)),0))</f>
        <v/>
      </c>
      <c r="O42" s="14">
        <f>IF(B42="","",M42*N42)</f>
        <v/>
      </c>
      <c r="P42" s="9" t="n"/>
    </row>
    <row r="43">
      <c r="A43" s="15" t="n"/>
      <c r="B43" s="9" t="n"/>
      <c r="C43" s="9" t="n"/>
      <c r="D43" s="9" t="n"/>
      <c r="E43" s="16" t="n"/>
      <c r="F43" s="16" t="n"/>
      <c r="G43" s="16" t="n"/>
      <c r="H43" s="17" t="n"/>
      <c r="I43" s="17" t="n"/>
      <c r="J43" s="9" t="n"/>
      <c r="K43" s="13">
        <f>IF(OR(E43="",F43=""),"",ROUND((MOD(F43-E43,1)-N(G43))*24,2))</f>
        <v/>
      </c>
      <c r="L43" s="13">
        <f>IF(OR(H43="",I43=""),"",I43-H43)</f>
        <v/>
      </c>
      <c r="M43" s="13">
        <f>IF(B43="","",IF(J43="Parado - cliente",IFERROR(INDEX(Equipamentos!$D$5:$D$10,MATCH(B43,Equipamentos!$A$5:$A$10,0)),0),IF(OR(J43="Parado - manutenção",J43="Sem serviço"),0,MAX(N(K43),IFERROR(INDEX(Equipamentos!$D$5:$D$10,MATCH(B43,Equipamentos!$A$5:$A$10,0)),0)))))</f>
        <v/>
      </c>
      <c r="N43" s="14">
        <f>IF(B43="","",IFERROR(INDEX(Equipamentos!$C$5:$C$10,MATCH(B43,Equipamentos!$A$5:$A$10,0)),0))</f>
        <v/>
      </c>
      <c r="O43" s="14">
        <f>IF(B43="","",M43*N43)</f>
        <v/>
      </c>
      <c r="P43" s="9" t="n"/>
    </row>
    <row r="44">
      <c r="A44" s="15" t="n"/>
      <c r="B44" s="9" t="n"/>
      <c r="C44" s="9" t="n"/>
      <c r="D44" s="9" t="n"/>
      <c r="E44" s="16" t="n"/>
      <c r="F44" s="16" t="n"/>
      <c r="G44" s="16" t="n"/>
      <c r="H44" s="17" t="n"/>
      <c r="I44" s="17" t="n"/>
      <c r="J44" s="9" t="n"/>
      <c r="K44" s="13">
        <f>IF(OR(E44="",F44=""),"",ROUND((MOD(F44-E44,1)-N(G44))*24,2))</f>
        <v/>
      </c>
      <c r="L44" s="13">
        <f>IF(OR(H44="",I44=""),"",I44-H44)</f>
        <v/>
      </c>
      <c r="M44" s="13">
        <f>IF(B44="","",IF(J44="Parado - cliente",IFERROR(INDEX(Equipamentos!$D$5:$D$10,MATCH(B44,Equipamentos!$A$5:$A$10,0)),0),IF(OR(J44="Parado - manutenção",J44="Sem serviço"),0,MAX(N(K44),IFERROR(INDEX(Equipamentos!$D$5:$D$10,MATCH(B44,Equipamentos!$A$5:$A$10,0)),0)))))</f>
        <v/>
      </c>
      <c r="N44" s="14">
        <f>IF(B44="","",IFERROR(INDEX(Equipamentos!$C$5:$C$10,MATCH(B44,Equipamentos!$A$5:$A$10,0)),0))</f>
        <v/>
      </c>
      <c r="O44" s="14">
        <f>IF(B44="","",M44*N44)</f>
        <v/>
      </c>
      <c r="P44" s="9" t="n"/>
    </row>
    <row r="45">
      <c r="A45" s="15" t="n"/>
      <c r="B45" s="9" t="n"/>
      <c r="C45" s="9" t="n"/>
      <c r="D45" s="9" t="n"/>
      <c r="E45" s="16" t="n"/>
      <c r="F45" s="16" t="n"/>
      <c r="G45" s="16" t="n"/>
      <c r="H45" s="17" t="n"/>
      <c r="I45" s="17" t="n"/>
      <c r="J45" s="9" t="n"/>
      <c r="K45" s="13">
        <f>IF(OR(E45="",F45=""),"",ROUND((MOD(F45-E45,1)-N(G45))*24,2))</f>
        <v/>
      </c>
      <c r="L45" s="13">
        <f>IF(OR(H45="",I45=""),"",I45-H45)</f>
        <v/>
      </c>
      <c r="M45" s="13">
        <f>IF(B45="","",IF(J45="Parado - cliente",IFERROR(INDEX(Equipamentos!$D$5:$D$10,MATCH(B45,Equipamentos!$A$5:$A$10,0)),0),IF(OR(J45="Parado - manutenção",J45="Sem serviço"),0,MAX(N(K45),IFERROR(INDEX(Equipamentos!$D$5:$D$10,MATCH(B45,Equipamentos!$A$5:$A$10,0)),0)))))</f>
        <v/>
      </c>
      <c r="N45" s="14">
        <f>IF(B45="","",IFERROR(INDEX(Equipamentos!$C$5:$C$10,MATCH(B45,Equipamentos!$A$5:$A$10,0)),0))</f>
        <v/>
      </c>
      <c r="O45" s="14">
        <f>IF(B45="","",M45*N45)</f>
        <v/>
      </c>
      <c r="P45" s="9" t="n"/>
    </row>
    <row r="46">
      <c r="A46" s="15" t="n"/>
      <c r="B46" s="9" t="n"/>
      <c r="C46" s="9" t="n"/>
      <c r="D46" s="9" t="n"/>
      <c r="E46" s="16" t="n"/>
      <c r="F46" s="16" t="n"/>
      <c r="G46" s="16" t="n"/>
      <c r="H46" s="17" t="n"/>
      <c r="I46" s="17" t="n"/>
      <c r="J46" s="9" t="n"/>
      <c r="K46" s="13">
        <f>IF(OR(E46="",F46=""),"",ROUND((MOD(F46-E46,1)-N(G46))*24,2))</f>
        <v/>
      </c>
      <c r="L46" s="13">
        <f>IF(OR(H46="",I46=""),"",I46-H46)</f>
        <v/>
      </c>
      <c r="M46" s="13">
        <f>IF(B46="","",IF(J46="Parado - cliente",IFERROR(INDEX(Equipamentos!$D$5:$D$10,MATCH(B46,Equipamentos!$A$5:$A$10,0)),0),IF(OR(J46="Parado - manutenção",J46="Sem serviço"),0,MAX(N(K46),IFERROR(INDEX(Equipamentos!$D$5:$D$10,MATCH(B46,Equipamentos!$A$5:$A$10,0)),0)))))</f>
        <v/>
      </c>
      <c r="N46" s="14">
        <f>IF(B46="","",IFERROR(INDEX(Equipamentos!$C$5:$C$10,MATCH(B46,Equipamentos!$A$5:$A$10,0)),0))</f>
        <v/>
      </c>
      <c r="O46" s="14">
        <f>IF(B46="","",M46*N46)</f>
        <v/>
      </c>
      <c r="P46" s="9" t="n"/>
    </row>
    <row r="47">
      <c r="A47" s="15" t="n"/>
      <c r="B47" s="9" t="n"/>
      <c r="C47" s="9" t="n"/>
      <c r="D47" s="9" t="n"/>
      <c r="E47" s="16" t="n"/>
      <c r="F47" s="16" t="n"/>
      <c r="G47" s="16" t="n"/>
      <c r="H47" s="17" t="n"/>
      <c r="I47" s="17" t="n"/>
      <c r="J47" s="9" t="n"/>
      <c r="K47" s="13">
        <f>IF(OR(E47="",F47=""),"",ROUND((MOD(F47-E47,1)-N(G47))*24,2))</f>
        <v/>
      </c>
      <c r="L47" s="13">
        <f>IF(OR(H47="",I47=""),"",I47-H47)</f>
        <v/>
      </c>
      <c r="M47" s="13">
        <f>IF(B47="","",IF(J47="Parado - cliente",IFERROR(INDEX(Equipamentos!$D$5:$D$10,MATCH(B47,Equipamentos!$A$5:$A$10,0)),0),IF(OR(J47="Parado - manutenção",J47="Sem serviço"),0,MAX(N(K47),IFERROR(INDEX(Equipamentos!$D$5:$D$10,MATCH(B47,Equipamentos!$A$5:$A$10,0)),0)))))</f>
        <v/>
      </c>
      <c r="N47" s="14">
        <f>IF(B47="","",IFERROR(INDEX(Equipamentos!$C$5:$C$10,MATCH(B47,Equipamentos!$A$5:$A$10,0)),0))</f>
        <v/>
      </c>
      <c r="O47" s="14">
        <f>IF(B47="","",M47*N47)</f>
        <v/>
      </c>
      <c r="P47" s="9" t="n"/>
    </row>
    <row r="48">
      <c r="A48" s="15" t="n"/>
      <c r="B48" s="9" t="n"/>
      <c r="C48" s="9" t="n"/>
      <c r="D48" s="9" t="n"/>
      <c r="E48" s="16" t="n"/>
      <c r="F48" s="16" t="n"/>
      <c r="G48" s="16" t="n"/>
      <c r="H48" s="17" t="n"/>
      <c r="I48" s="17" t="n"/>
      <c r="J48" s="9" t="n"/>
      <c r="K48" s="13">
        <f>IF(OR(E48="",F48=""),"",ROUND((MOD(F48-E48,1)-N(G48))*24,2))</f>
        <v/>
      </c>
      <c r="L48" s="13">
        <f>IF(OR(H48="",I48=""),"",I48-H48)</f>
        <v/>
      </c>
      <c r="M48" s="13">
        <f>IF(B48="","",IF(J48="Parado - cliente",IFERROR(INDEX(Equipamentos!$D$5:$D$10,MATCH(B48,Equipamentos!$A$5:$A$10,0)),0),IF(OR(J48="Parado - manutenção",J48="Sem serviço"),0,MAX(N(K48),IFERROR(INDEX(Equipamentos!$D$5:$D$10,MATCH(B48,Equipamentos!$A$5:$A$10,0)),0)))))</f>
        <v/>
      </c>
      <c r="N48" s="14">
        <f>IF(B48="","",IFERROR(INDEX(Equipamentos!$C$5:$C$10,MATCH(B48,Equipamentos!$A$5:$A$10,0)),0))</f>
        <v/>
      </c>
      <c r="O48" s="14">
        <f>IF(B48="","",M48*N48)</f>
        <v/>
      </c>
      <c r="P48" s="9" t="n"/>
    </row>
    <row r="49">
      <c r="A49" s="15" t="n"/>
      <c r="B49" s="9" t="n"/>
      <c r="C49" s="9" t="n"/>
      <c r="D49" s="9" t="n"/>
      <c r="E49" s="16" t="n"/>
      <c r="F49" s="16" t="n"/>
      <c r="G49" s="16" t="n"/>
      <c r="H49" s="17" t="n"/>
      <c r="I49" s="17" t="n"/>
      <c r="J49" s="9" t="n"/>
      <c r="K49" s="13">
        <f>IF(OR(E49="",F49=""),"",ROUND((MOD(F49-E49,1)-N(G49))*24,2))</f>
        <v/>
      </c>
      <c r="L49" s="13">
        <f>IF(OR(H49="",I49=""),"",I49-H49)</f>
        <v/>
      </c>
      <c r="M49" s="13">
        <f>IF(B49="","",IF(J49="Parado - cliente",IFERROR(INDEX(Equipamentos!$D$5:$D$10,MATCH(B49,Equipamentos!$A$5:$A$10,0)),0),IF(OR(J49="Parado - manutenção",J49="Sem serviço"),0,MAX(N(K49),IFERROR(INDEX(Equipamentos!$D$5:$D$10,MATCH(B49,Equipamentos!$A$5:$A$10,0)),0)))))</f>
        <v/>
      </c>
      <c r="N49" s="14">
        <f>IF(B49="","",IFERROR(INDEX(Equipamentos!$C$5:$C$10,MATCH(B49,Equipamentos!$A$5:$A$10,0)),0))</f>
        <v/>
      </c>
      <c r="O49" s="14">
        <f>IF(B49="","",M49*N49)</f>
        <v/>
      </c>
      <c r="P49" s="9" t="n"/>
    </row>
    <row r="50">
      <c r="A50" s="15" t="n"/>
      <c r="B50" s="9" t="n"/>
      <c r="C50" s="9" t="n"/>
      <c r="D50" s="9" t="n"/>
      <c r="E50" s="16" t="n"/>
      <c r="F50" s="16" t="n"/>
      <c r="G50" s="16" t="n"/>
      <c r="H50" s="17" t="n"/>
      <c r="I50" s="17" t="n"/>
      <c r="J50" s="9" t="n"/>
      <c r="K50" s="13">
        <f>IF(OR(E50="",F50=""),"",ROUND((MOD(F50-E50,1)-N(G50))*24,2))</f>
        <v/>
      </c>
      <c r="L50" s="13">
        <f>IF(OR(H50="",I50=""),"",I50-H50)</f>
        <v/>
      </c>
      <c r="M50" s="13">
        <f>IF(B50="","",IF(J50="Parado - cliente",IFERROR(INDEX(Equipamentos!$D$5:$D$10,MATCH(B50,Equipamentos!$A$5:$A$10,0)),0),IF(OR(J50="Parado - manutenção",J50="Sem serviço"),0,MAX(N(K50),IFERROR(INDEX(Equipamentos!$D$5:$D$10,MATCH(B50,Equipamentos!$A$5:$A$10,0)),0)))))</f>
        <v/>
      </c>
      <c r="N50" s="14">
        <f>IF(B50="","",IFERROR(INDEX(Equipamentos!$C$5:$C$10,MATCH(B50,Equipamentos!$A$5:$A$10,0)),0))</f>
        <v/>
      </c>
      <c r="O50" s="14">
        <f>IF(B50="","",M50*N50)</f>
        <v/>
      </c>
      <c r="P50" s="9" t="n"/>
    </row>
    <row r="51">
      <c r="A51" s="15" t="n"/>
      <c r="B51" s="9" t="n"/>
      <c r="C51" s="9" t="n"/>
      <c r="D51" s="9" t="n"/>
      <c r="E51" s="16" t="n"/>
      <c r="F51" s="16" t="n"/>
      <c r="G51" s="16" t="n"/>
      <c r="H51" s="17" t="n"/>
      <c r="I51" s="17" t="n"/>
      <c r="J51" s="9" t="n"/>
      <c r="K51" s="13">
        <f>IF(OR(E51="",F51=""),"",ROUND((MOD(F51-E51,1)-N(G51))*24,2))</f>
        <v/>
      </c>
      <c r="L51" s="13">
        <f>IF(OR(H51="",I51=""),"",I51-H51)</f>
        <v/>
      </c>
      <c r="M51" s="13">
        <f>IF(B51="","",IF(J51="Parado - cliente",IFERROR(INDEX(Equipamentos!$D$5:$D$10,MATCH(B51,Equipamentos!$A$5:$A$10,0)),0),IF(OR(J51="Parado - manutenção",J51="Sem serviço"),0,MAX(N(K51),IFERROR(INDEX(Equipamentos!$D$5:$D$10,MATCH(B51,Equipamentos!$A$5:$A$10,0)),0)))))</f>
        <v/>
      </c>
      <c r="N51" s="14">
        <f>IF(B51="","",IFERROR(INDEX(Equipamentos!$C$5:$C$10,MATCH(B51,Equipamentos!$A$5:$A$10,0)),0))</f>
        <v/>
      </c>
      <c r="O51" s="14">
        <f>IF(B51="","",M51*N51)</f>
        <v/>
      </c>
      <c r="P51" s="9" t="n"/>
    </row>
    <row r="52">
      <c r="A52" s="15" t="n"/>
      <c r="B52" s="9" t="n"/>
      <c r="C52" s="9" t="n"/>
      <c r="D52" s="9" t="n"/>
      <c r="E52" s="16" t="n"/>
      <c r="F52" s="16" t="n"/>
      <c r="G52" s="16" t="n"/>
      <c r="H52" s="17" t="n"/>
      <c r="I52" s="17" t="n"/>
      <c r="J52" s="9" t="n"/>
      <c r="K52" s="13">
        <f>IF(OR(E52="",F52=""),"",ROUND((MOD(F52-E52,1)-N(G52))*24,2))</f>
        <v/>
      </c>
      <c r="L52" s="13">
        <f>IF(OR(H52="",I52=""),"",I52-H52)</f>
        <v/>
      </c>
      <c r="M52" s="13">
        <f>IF(B52="","",IF(J52="Parado - cliente",IFERROR(INDEX(Equipamentos!$D$5:$D$10,MATCH(B52,Equipamentos!$A$5:$A$10,0)),0),IF(OR(J52="Parado - manutenção",J52="Sem serviço"),0,MAX(N(K52),IFERROR(INDEX(Equipamentos!$D$5:$D$10,MATCH(B52,Equipamentos!$A$5:$A$10,0)),0)))))</f>
        <v/>
      </c>
      <c r="N52" s="14">
        <f>IF(B52="","",IFERROR(INDEX(Equipamentos!$C$5:$C$10,MATCH(B52,Equipamentos!$A$5:$A$10,0)),0))</f>
        <v/>
      </c>
      <c r="O52" s="14">
        <f>IF(B52="","",M52*N52)</f>
        <v/>
      </c>
      <c r="P52" s="9" t="n"/>
    </row>
    <row r="53">
      <c r="A53" s="15" t="n"/>
      <c r="B53" s="9" t="n"/>
      <c r="C53" s="9" t="n"/>
      <c r="D53" s="9" t="n"/>
      <c r="E53" s="16" t="n"/>
      <c r="F53" s="16" t="n"/>
      <c r="G53" s="16" t="n"/>
      <c r="H53" s="17" t="n"/>
      <c r="I53" s="17" t="n"/>
      <c r="J53" s="9" t="n"/>
      <c r="K53" s="13">
        <f>IF(OR(E53="",F53=""),"",ROUND((MOD(F53-E53,1)-N(G53))*24,2))</f>
        <v/>
      </c>
      <c r="L53" s="13">
        <f>IF(OR(H53="",I53=""),"",I53-H53)</f>
        <v/>
      </c>
      <c r="M53" s="13">
        <f>IF(B53="","",IF(J53="Parado - cliente",IFERROR(INDEX(Equipamentos!$D$5:$D$10,MATCH(B53,Equipamentos!$A$5:$A$10,0)),0),IF(OR(J53="Parado - manutenção",J53="Sem serviço"),0,MAX(N(K53),IFERROR(INDEX(Equipamentos!$D$5:$D$10,MATCH(B53,Equipamentos!$A$5:$A$10,0)),0)))))</f>
        <v/>
      </c>
      <c r="N53" s="14">
        <f>IF(B53="","",IFERROR(INDEX(Equipamentos!$C$5:$C$10,MATCH(B53,Equipamentos!$A$5:$A$10,0)),0))</f>
        <v/>
      </c>
      <c r="O53" s="14">
        <f>IF(B53="","",M53*N53)</f>
        <v/>
      </c>
      <c r="P53" s="9" t="n"/>
    </row>
    <row r="54">
      <c r="A54" s="15" t="n"/>
      <c r="B54" s="9" t="n"/>
      <c r="C54" s="9" t="n"/>
      <c r="D54" s="9" t="n"/>
      <c r="E54" s="16" t="n"/>
      <c r="F54" s="16" t="n"/>
      <c r="G54" s="16" t="n"/>
      <c r="H54" s="17" t="n"/>
      <c r="I54" s="17" t="n"/>
      <c r="J54" s="9" t="n"/>
      <c r="K54" s="13">
        <f>IF(OR(E54="",F54=""),"",ROUND((MOD(F54-E54,1)-N(G54))*24,2))</f>
        <v/>
      </c>
      <c r="L54" s="13">
        <f>IF(OR(H54="",I54=""),"",I54-H54)</f>
        <v/>
      </c>
      <c r="M54" s="13">
        <f>IF(B54="","",IF(J54="Parado - cliente",IFERROR(INDEX(Equipamentos!$D$5:$D$10,MATCH(B54,Equipamentos!$A$5:$A$10,0)),0),IF(OR(J54="Parado - manutenção",J54="Sem serviço"),0,MAX(N(K54),IFERROR(INDEX(Equipamentos!$D$5:$D$10,MATCH(B54,Equipamentos!$A$5:$A$10,0)),0)))))</f>
        <v/>
      </c>
      <c r="N54" s="14">
        <f>IF(B54="","",IFERROR(INDEX(Equipamentos!$C$5:$C$10,MATCH(B54,Equipamentos!$A$5:$A$10,0)),0))</f>
        <v/>
      </c>
      <c r="O54" s="14">
        <f>IF(B54="","",M54*N54)</f>
        <v/>
      </c>
      <c r="P54" s="9" t="n"/>
    </row>
    <row r="55">
      <c r="A55" s="15" t="n"/>
      <c r="B55" s="9" t="n"/>
      <c r="C55" s="9" t="n"/>
      <c r="D55" s="9" t="n"/>
      <c r="E55" s="16" t="n"/>
      <c r="F55" s="16" t="n"/>
      <c r="G55" s="16" t="n"/>
      <c r="H55" s="17" t="n"/>
      <c r="I55" s="17" t="n"/>
      <c r="J55" s="9" t="n"/>
      <c r="K55" s="13">
        <f>IF(OR(E55="",F55=""),"",ROUND((MOD(F55-E55,1)-N(G55))*24,2))</f>
        <v/>
      </c>
      <c r="L55" s="13">
        <f>IF(OR(H55="",I55=""),"",I55-H55)</f>
        <v/>
      </c>
      <c r="M55" s="13">
        <f>IF(B55="","",IF(J55="Parado - cliente",IFERROR(INDEX(Equipamentos!$D$5:$D$10,MATCH(B55,Equipamentos!$A$5:$A$10,0)),0),IF(OR(J55="Parado - manutenção",J55="Sem serviço"),0,MAX(N(K55),IFERROR(INDEX(Equipamentos!$D$5:$D$10,MATCH(B55,Equipamentos!$A$5:$A$10,0)),0)))))</f>
        <v/>
      </c>
      <c r="N55" s="14">
        <f>IF(B55="","",IFERROR(INDEX(Equipamentos!$C$5:$C$10,MATCH(B55,Equipamentos!$A$5:$A$10,0)),0))</f>
        <v/>
      </c>
      <c r="O55" s="14">
        <f>IF(B55="","",M55*N55)</f>
        <v/>
      </c>
      <c r="P55" s="9" t="n"/>
    </row>
    <row r="56">
      <c r="A56" s="15" t="n"/>
      <c r="B56" s="9" t="n"/>
      <c r="C56" s="9" t="n"/>
      <c r="D56" s="9" t="n"/>
      <c r="E56" s="16" t="n"/>
      <c r="F56" s="16" t="n"/>
      <c r="G56" s="16" t="n"/>
      <c r="H56" s="17" t="n"/>
      <c r="I56" s="17" t="n"/>
      <c r="J56" s="9" t="n"/>
      <c r="K56" s="13">
        <f>IF(OR(E56="",F56=""),"",ROUND((MOD(F56-E56,1)-N(G56))*24,2))</f>
        <v/>
      </c>
      <c r="L56" s="13">
        <f>IF(OR(H56="",I56=""),"",I56-H56)</f>
        <v/>
      </c>
      <c r="M56" s="13">
        <f>IF(B56="","",IF(J56="Parado - cliente",IFERROR(INDEX(Equipamentos!$D$5:$D$10,MATCH(B56,Equipamentos!$A$5:$A$10,0)),0),IF(OR(J56="Parado - manutenção",J56="Sem serviço"),0,MAX(N(K56),IFERROR(INDEX(Equipamentos!$D$5:$D$10,MATCH(B56,Equipamentos!$A$5:$A$10,0)),0)))))</f>
        <v/>
      </c>
      <c r="N56" s="14">
        <f>IF(B56="","",IFERROR(INDEX(Equipamentos!$C$5:$C$10,MATCH(B56,Equipamentos!$A$5:$A$10,0)),0))</f>
        <v/>
      </c>
      <c r="O56" s="14">
        <f>IF(B56="","",M56*N56)</f>
        <v/>
      </c>
      <c r="P56" s="9" t="n"/>
    </row>
    <row r="57">
      <c r="A57" s="15" t="n"/>
      <c r="B57" s="9" t="n"/>
      <c r="C57" s="9" t="n"/>
      <c r="D57" s="9" t="n"/>
      <c r="E57" s="16" t="n"/>
      <c r="F57" s="16" t="n"/>
      <c r="G57" s="16" t="n"/>
      <c r="H57" s="17" t="n"/>
      <c r="I57" s="17" t="n"/>
      <c r="J57" s="9" t="n"/>
      <c r="K57" s="13">
        <f>IF(OR(E57="",F57=""),"",ROUND((MOD(F57-E57,1)-N(G57))*24,2))</f>
        <v/>
      </c>
      <c r="L57" s="13">
        <f>IF(OR(H57="",I57=""),"",I57-H57)</f>
        <v/>
      </c>
      <c r="M57" s="13">
        <f>IF(B57="","",IF(J57="Parado - cliente",IFERROR(INDEX(Equipamentos!$D$5:$D$10,MATCH(B57,Equipamentos!$A$5:$A$10,0)),0),IF(OR(J57="Parado - manutenção",J57="Sem serviço"),0,MAX(N(K57),IFERROR(INDEX(Equipamentos!$D$5:$D$10,MATCH(B57,Equipamentos!$A$5:$A$10,0)),0)))))</f>
        <v/>
      </c>
      <c r="N57" s="14">
        <f>IF(B57="","",IFERROR(INDEX(Equipamentos!$C$5:$C$10,MATCH(B57,Equipamentos!$A$5:$A$10,0)),0))</f>
        <v/>
      </c>
      <c r="O57" s="14">
        <f>IF(B57="","",M57*N57)</f>
        <v/>
      </c>
      <c r="P57" s="9" t="n"/>
    </row>
    <row r="58">
      <c r="A58" s="15" t="n"/>
      <c r="B58" s="9" t="n"/>
      <c r="C58" s="9" t="n"/>
      <c r="D58" s="9" t="n"/>
      <c r="E58" s="16" t="n"/>
      <c r="F58" s="16" t="n"/>
      <c r="G58" s="16" t="n"/>
      <c r="H58" s="17" t="n"/>
      <c r="I58" s="17" t="n"/>
      <c r="J58" s="9" t="n"/>
      <c r="K58" s="13">
        <f>IF(OR(E58="",F58=""),"",ROUND((MOD(F58-E58,1)-N(G58))*24,2))</f>
        <v/>
      </c>
      <c r="L58" s="13">
        <f>IF(OR(H58="",I58=""),"",I58-H58)</f>
        <v/>
      </c>
      <c r="M58" s="13">
        <f>IF(B58="","",IF(J58="Parado - cliente",IFERROR(INDEX(Equipamentos!$D$5:$D$10,MATCH(B58,Equipamentos!$A$5:$A$10,0)),0),IF(OR(J58="Parado - manutenção",J58="Sem serviço"),0,MAX(N(K58),IFERROR(INDEX(Equipamentos!$D$5:$D$10,MATCH(B58,Equipamentos!$A$5:$A$10,0)),0)))))</f>
        <v/>
      </c>
      <c r="N58" s="14">
        <f>IF(B58="","",IFERROR(INDEX(Equipamentos!$C$5:$C$10,MATCH(B58,Equipamentos!$A$5:$A$10,0)),0))</f>
        <v/>
      </c>
      <c r="O58" s="14">
        <f>IF(B58="","",M58*N58)</f>
        <v/>
      </c>
      <c r="P58" s="9" t="n"/>
    </row>
    <row r="59">
      <c r="A59" s="15" t="n"/>
      <c r="B59" s="9" t="n"/>
      <c r="C59" s="9" t="n"/>
      <c r="D59" s="9" t="n"/>
      <c r="E59" s="16" t="n"/>
      <c r="F59" s="16" t="n"/>
      <c r="G59" s="16" t="n"/>
      <c r="H59" s="17" t="n"/>
      <c r="I59" s="17" t="n"/>
      <c r="J59" s="9" t="n"/>
      <c r="K59" s="13">
        <f>IF(OR(E59="",F59=""),"",ROUND((MOD(F59-E59,1)-N(G59))*24,2))</f>
        <v/>
      </c>
      <c r="L59" s="13">
        <f>IF(OR(H59="",I59=""),"",I59-H59)</f>
        <v/>
      </c>
      <c r="M59" s="13">
        <f>IF(B59="","",IF(J59="Parado - cliente",IFERROR(INDEX(Equipamentos!$D$5:$D$10,MATCH(B59,Equipamentos!$A$5:$A$10,0)),0),IF(OR(J59="Parado - manutenção",J59="Sem serviço"),0,MAX(N(K59),IFERROR(INDEX(Equipamentos!$D$5:$D$10,MATCH(B59,Equipamentos!$A$5:$A$10,0)),0)))))</f>
        <v/>
      </c>
      <c r="N59" s="14">
        <f>IF(B59="","",IFERROR(INDEX(Equipamentos!$C$5:$C$10,MATCH(B59,Equipamentos!$A$5:$A$10,0)),0))</f>
        <v/>
      </c>
      <c r="O59" s="14">
        <f>IF(B59="","",M59*N59)</f>
        <v/>
      </c>
      <c r="P59" s="9" t="n"/>
    </row>
    <row r="60">
      <c r="A60" s="15" t="n"/>
      <c r="B60" s="9" t="n"/>
      <c r="C60" s="9" t="n"/>
      <c r="D60" s="9" t="n"/>
      <c r="E60" s="16" t="n"/>
      <c r="F60" s="16" t="n"/>
      <c r="G60" s="16" t="n"/>
      <c r="H60" s="17" t="n"/>
      <c r="I60" s="17" t="n"/>
      <c r="J60" s="9" t="n"/>
      <c r="K60" s="13">
        <f>IF(OR(E60="",F60=""),"",ROUND((MOD(F60-E60,1)-N(G60))*24,2))</f>
        <v/>
      </c>
      <c r="L60" s="13">
        <f>IF(OR(H60="",I60=""),"",I60-H60)</f>
        <v/>
      </c>
      <c r="M60" s="13">
        <f>IF(B60="","",IF(J60="Parado - cliente",IFERROR(INDEX(Equipamentos!$D$5:$D$10,MATCH(B60,Equipamentos!$A$5:$A$10,0)),0),IF(OR(J60="Parado - manutenção",J60="Sem serviço"),0,MAX(N(K60),IFERROR(INDEX(Equipamentos!$D$5:$D$10,MATCH(B60,Equipamentos!$A$5:$A$10,0)),0)))))</f>
        <v/>
      </c>
      <c r="N60" s="14">
        <f>IF(B60="","",IFERROR(INDEX(Equipamentos!$C$5:$C$10,MATCH(B60,Equipamentos!$A$5:$A$10,0)),0))</f>
        <v/>
      </c>
      <c r="O60" s="14">
        <f>IF(B60="","",M60*N60)</f>
        <v/>
      </c>
      <c r="P60" s="9" t="n"/>
    </row>
    <row r="61">
      <c r="A61" s="15" t="n"/>
      <c r="B61" s="9" t="n"/>
      <c r="C61" s="9" t="n"/>
      <c r="D61" s="9" t="n"/>
      <c r="E61" s="16" t="n"/>
      <c r="F61" s="16" t="n"/>
      <c r="G61" s="16" t="n"/>
      <c r="H61" s="17" t="n"/>
      <c r="I61" s="17" t="n"/>
      <c r="J61" s="9" t="n"/>
      <c r="K61" s="13">
        <f>IF(OR(E61="",F61=""),"",ROUND((MOD(F61-E61,1)-N(G61))*24,2))</f>
        <v/>
      </c>
      <c r="L61" s="13">
        <f>IF(OR(H61="",I61=""),"",I61-H61)</f>
        <v/>
      </c>
      <c r="M61" s="13">
        <f>IF(B61="","",IF(J61="Parado - cliente",IFERROR(INDEX(Equipamentos!$D$5:$D$10,MATCH(B61,Equipamentos!$A$5:$A$10,0)),0),IF(OR(J61="Parado - manutenção",J61="Sem serviço"),0,MAX(N(K61),IFERROR(INDEX(Equipamentos!$D$5:$D$10,MATCH(B61,Equipamentos!$A$5:$A$10,0)),0)))))</f>
        <v/>
      </c>
      <c r="N61" s="14">
        <f>IF(B61="","",IFERROR(INDEX(Equipamentos!$C$5:$C$10,MATCH(B61,Equipamentos!$A$5:$A$10,0)),0))</f>
        <v/>
      </c>
      <c r="O61" s="14">
        <f>IF(B61="","",M61*N61)</f>
        <v/>
      </c>
      <c r="P61" s="9" t="n"/>
    </row>
    <row r="62">
      <c r="A62" s="15" t="n"/>
      <c r="B62" s="9" t="n"/>
      <c r="C62" s="9" t="n"/>
      <c r="D62" s="9" t="n"/>
      <c r="E62" s="16" t="n"/>
      <c r="F62" s="16" t="n"/>
      <c r="G62" s="16" t="n"/>
      <c r="H62" s="17" t="n"/>
      <c r="I62" s="17" t="n"/>
      <c r="J62" s="9" t="n"/>
      <c r="K62" s="13">
        <f>IF(OR(E62="",F62=""),"",ROUND((MOD(F62-E62,1)-N(G62))*24,2))</f>
        <v/>
      </c>
      <c r="L62" s="13">
        <f>IF(OR(H62="",I62=""),"",I62-H62)</f>
        <v/>
      </c>
      <c r="M62" s="13">
        <f>IF(B62="","",IF(J62="Parado - cliente",IFERROR(INDEX(Equipamentos!$D$5:$D$10,MATCH(B62,Equipamentos!$A$5:$A$10,0)),0),IF(OR(J62="Parado - manutenção",J62="Sem serviço"),0,MAX(N(K62),IFERROR(INDEX(Equipamentos!$D$5:$D$10,MATCH(B62,Equipamentos!$A$5:$A$10,0)),0)))))</f>
        <v/>
      </c>
      <c r="N62" s="14">
        <f>IF(B62="","",IFERROR(INDEX(Equipamentos!$C$5:$C$10,MATCH(B62,Equipamentos!$A$5:$A$10,0)),0))</f>
        <v/>
      </c>
      <c r="O62" s="14">
        <f>IF(B62="","",M62*N62)</f>
        <v/>
      </c>
      <c r="P62" s="9" t="n"/>
    </row>
    <row r="63">
      <c r="A63" s="15" t="n"/>
      <c r="B63" s="9" t="n"/>
      <c r="C63" s="9" t="n"/>
      <c r="D63" s="9" t="n"/>
      <c r="E63" s="16" t="n"/>
      <c r="F63" s="16" t="n"/>
      <c r="G63" s="16" t="n"/>
      <c r="H63" s="17" t="n"/>
      <c r="I63" s="17" t="n"/>
      <c r="J63" s="9" t="n"/>
      <c r="K63" s="13">
        <f>IF(OR(E63="",F63=""),"",ROUND((MOD(F63-E63,1)-N(G63))*24,2))</f>
        <v/>
      </c>
      <c r="L63" s="13">
        <f>IF(OR(H63="",I63=""),"",I63-H63)</f>
        <v/>
      </c>
      <c r="M63" s="13">
        <f>IF(B63="","",IF(J63="Parado - cliente",IFERROR(INDEX(Equipamentos!$D$5:$D$10,MATCH(B63,Equipamentos!$A$5:$A$10,0)),0),IF(OR(J63="Parado - manutenção",J63="Sem serviço"),0,MAX(N(K63),IFERROR(INDEX(Equipamentos!$D$5:$D$10,MATCH(B63,Equipamentos!$A$5:$A$10,0)),0)))))</f>
        <v/>
      </c>
      <c r="N63" s="14">
        <f>IF(B63="","",IFERROR(INDEX(Equipamentos!$C$5:$C$10,MATCH(B63,Equipamentos!$A$5:$A$10,0)),0))</f>
        <v/>
      </c>
      <c r="O63" s="14">
        <f>IF(B63="","",M63*N63)</f>
        <v/>
      </c>
      <c r="P63" s="9" t="n"/>
    </row>
    <row r="64">
      <c r="A64" s="15" t="n"/>
      <c r="B64" s="9" t="n"/>
      <c r="C64" s="9" t="n"/>
      <c r="D64" s="9" t="n"/>
      <c r="E64" s="16" t="n"/>
      <c r="F64" s="16" t="n"/>
      <c r="G64" s="16" t="n"/>
      <c r="H64" s="17" t="n"/>
      <c r="I64" s="17" t="n"/>
      <c r="J64" s="9" t="n"/>
      <c r="K64" s="13">
        <f>IF(OR(E64="",F64=""),"",ROUND((MOD(F64-E64,1)-N(G64))*24,2))</f>
        <v/>
      </c>
      <c r="L64" s="13">
        <f>IF(OR(H64="",I64=""),"",I64-H64)</f>
        <v/>
      </c>
      <c r="M64" s="13">
        <f>IF(B64="","",IF(J64="Parado - cliente",IFERROR(INDEX(Equipamentos!$D$5:$D$10,MATCH(B64,Equipamentos!$A$5:$A$10,0)),0),IF(OR(J64="Parado - manutenção",J64="Sem serviço"),0,MAX(N(K64),IFERROR(INDEX(Equipamentos!$D$5:$D$10,MATCH(B64,Equipamentos!$A$5:$A$10,0)),0)))))</f>
        <v/>
      </c>
      <c r="N64" s="14">
        <f>IF(B64="","",IFERROR(INDEX(Equipamentos!$C$5:$C$10,MATCH(B64,Equipamentos!$A$5:$A$10,0)),0))</f>
        <v/>
      </c>
      <c r="O64" s="14">
        <f>IF(B64="","",M64*N64)</f>
        <v/>
      </c>
      <c r="P64" s="9" t="n"/>
    </row>
    <row r="65">
      <c r="A65" s="15" t="n"/>
      <c r="B65" s="9" t="n"/>
      <c r="C65" s="9" t="n"/>
      <c r="D65" s="9" t="n"/>
      <c r="E65" s="16" t="n"/>
      <c r="F65" s="16" t="n"/>
      <c r="G65" s="16" t="n"/>
      <c r="H65" s="17" t="n"/>
      <c r="I65" s="17" t="n"/>
      <c r="J65" s="9" t="n"/>
      <c r="K65" s="13">
        <f>IF(OR(E65="",F65=""),"",ROUND((MOD(F65-E65,1)-N(G65))*24,2))</f>
        <v/>
      </c>
      <c r="L65" s="13">
        <f>IF(OR(H65="",I65=""),"",I65-H65)</f>
        <v/>
      </c>
      <c r="M65" s="13">
        <f>IF(B65="","",IF(J65="Parado - cliente",IFERROR(INDEX(Equipamentos!$D$5:$D$10,MATCH(B65,Equipamentos!$A$5:$A$10,0)),0),IF(OR(J65="Parado - manutenção",J65="Sem serviço"),0,MAX(N(K65),IFERROR(INDEX(Equipamentos!$D$5:$D$10,MATCH(B65,Equipamentos!$A$5:$A$10,0)),0)))))</f>
        <v/>
      </c>
      <c r="N65" s="14">
        <f>IF(B65="","",IFERROR(INDEX(Equipamentos!$C$5:$C$10,MATCH(B65,Equipamentos!$A$5:$A$10,0)),0))</f>
        <v/>
      </c>
      <c r="O65" s="14">
        <f>IF(B65="","",M65*N65)</f>
        <v/>
      </c>
      <c r="P65" s="9" t="n"/>
    </row>
    <row r="66">
      <c r="A66" s="15" t="n"/>
      <c r="B66" s="9" t="n"/>
      <c r="C66" s="9" t="n"/>
      <c r="D66" s="9" t="n"/>
      <c r="E66" s="16" t="n"/>
      <c r="F66" s="16" t="n"/>
      <c r="G66" s="16" t="n"/>
      <c r="H66" s="17" t="n"/>
      <c r="I66" s="17" t="n"/>
      <c r="J66" s="9" t="n"/>
      <c r="K66" s="13">
        <f>IF(OR(E66="",F66=""),"",ROUND((MOD(F66-E66,1)-N(G66))*24,2))</f>
        <v/>
      </c>
      <c r="L66" s="13">
        <f>IF(OR(H66="",I66=""),"",I66-H66)</f>
        <v/>
      </c>
      <c r="M66" s="13">
        <f>IF(B66="","",IF(J66="Parado - cliente",IFERROR(INDEX(Equipamentos!$D$5:$D$10,MATCH(B66,Equipamentos!$A$5:$A$10,0)),0),IF(OR(J66="Parado - manutenção",J66="Sem serviço"),0,MAX(N(K66),IFERROR(INDEX(Equipamentos!$D$5:$D$10,MATCH(B66,Equipamentos!$A$5:$A$10,0)),0)))))</f>
        <v/>
      </c>
      <c r="N66" s="14">
        <f>IF(B66="","",IFERROR(INDEX(Equipamentos!$C$5:$C$10,MATCH(B66,Equipamentos!$A$5:$A$10,0)),0))</f>
        <v/>
      </c>
      <c r="O66" s="14">
        <f>IF(B66="","",M66*N66)</f>
        <v/>
      </c>
      <c r="P66" s="9" t="n"/>
    </row>
    <row r="67">
      <c r="A67" s="15" t="n"/>
      <c r="B67" s="9" t="n"/>
      <c r="C67" s="9" t="n"/>
      <c r="D67" s="9" t="n"/>
      <c r="E67" s="16" t="n"/>
      <c r="F67" s="16" t="n"/>
      <c r="G67" s="16" t="n"/>
      <c r="H67" s="17" t="n"/>
      <c r="I67" s="17" t="n"/>
      <c r="J67" s="9" t="n"/>
      <c r="K67" s="13">
        <f>IF(OR(E67="",F67=""),"",ROUND((MOD(F67-E67,1)-N(G67))*24,2))</f>
        <v/>
      </c>
      <c r="L67" s="13">
        <f>IF(OR(H67="",I67=""),"",I67-H67)</f>
        <v/>
      </c>
      <c r="M67" s="13">
        <f>IF(B67="","",IF(J67="Parado - cliente",IFERROR(INDEX(Equipamentos!$D$5:$D$10,MATCH(B67,Equipamentos!$A$5:$A$10,0)),0),IF(OR(J67="Parado - manutenção",J67="Sem serviço"),0,MAX(N(K67),IFERROR(INDEX(Equipamentos!$D$5:$D$10,MATCH(B67,Equipamentos!$A$5:$A$10,0)),0)))))</f>
        <v/>
      </c>
      <c r="N67" s="14">
        <f>IF(B67="","",IFERROR(INDEX(Equipamentos!$C$5:$C$10,MATCH(B67,Equipamentos!$A$5:$A$10,0)),0))</f>
        <v/>
      </c>
      <c r="O67" s="14">
        <f>IF(B67="","",M67*N67)</f>
        <v/>
      </c>
      <c r="P67" s="9" t="n"/>
    </row>
    <row r="68">
      <c r="A68" s="15" t="n"/>
      <c r="B68" s="9" t="n"/>
      <c r="C68" s="9" t="n"/>
      <c r="D68" s="9" t="n"/>
      <c r="E68" s="16" t="n"/>
      <c r="F68" s="16" t="n"/>
      <c r="G68" s="16" t="n"/>
      <c r="H68" s="17" t="n"/>
      <c r="I68" s="17" t="n"/>
      <c r="J68" s="9" t="n"/>
      <c r="K68" s="13">
        <f>IF(OR(E68="",F68=""),"",ROUND((MOD(F68-E68,1)-N(G68))*24,2))</f>
        <v/>
      </c>
      <c r="L68" s="13">
        <f>IF(OR(H68="",I68=""),"",I68-H68)</f>
        <v/>
      </c>
      <c r="M68" s="13">
        <f>IF(B68="","",IF(J68="Parado - cliente",IFERROR(INDEX(Equipamentos!$D$5:$D$10,MATCH(B68,Equipamentos!$A$5:$A$10,0)),0),IF(OR(J68="Parado - manutenção",J68="Sem serviço"),0,MAX(N(K68),IFERROR(INDEX(Equipamentos!$D$5:$D$10,MATCH(B68,Equipamentos!$A$5:$A$10,0)),0)))))</f>
        <v/>
      </c>
      <c r="N68" s="14">
        <f>IF(B68="","",IFERROR(INDEX(Equipamentos!$C$5:$C$10,MATCH(B68,Equipamentos!$A$5:$A$10,0)),0))</f>
        <v/>
      </c>
      <c r="O68" s="14">
        <f>IF(B68="","",M68*N68)</f>
        <v/>
      </c>
      <c r="P68" s="9" t="n"/>
    </row>
    <row r="69">
      <c r="A69" s="15" t="n"/>
      <c r="B69" s="9" t="n"/>
      <c r="C69" s="9" t="n"/>
      <c r="D69" s="9" t="n"/>
      <c r="E69" s="16" t="n"/>
      <c r="F69" s="16" t="n"/>
      <c r="G69" s="16" t="n"/>
      <c r="H69" s="17" t="n"/>
      <c r="I69" s="17" t="n"/>
      <c r="J69" s="9" t="n"/>
      <c r="K69" s="13">
        <f>IF(OR(E69="",F69=""),"",ROUND((MOD(F69-E69,1)-N(G69))*24,2))</f>
        <v/>
      </c>
      <c r="L69" s="13">
        <f>IF(OR(H69="",I69=""),"",I69-H69)</f>
        <v/>
      </c>
      <c r="M69" s="13">
        <f>IF(B69="","",IF(J69="Parado - cliente",IFERROR(INDEX(Equipamentos!$D$5:$D$10,MATCH(B69,Equipamentos!$A$5:$A$10,0)),0),IF(OR(J69="Parado - manutenção",J69="Sem serviço"),0,MAX(N(K69),IFERROR(INDEX(Equipamentos!$D$5:$D$10,MATCH(B69,Equipamentos!$A$5:$A$10,0)),0)))))</f>
        <v/>
      </c>
      <c r="N69" s="14">
        <f>IF(B69="","",IFERROR(INDEX(Equipamentos!$C$5:$C$10,MATCH(B69,Equipamentos!$A$5:$A$10,0)),0))</f>
        <v/>
      </c>
      <c r="O69" s="14">
        <f>IF(B69="","",M69*N69)</f>
        <v/>
      </c>
      <c r="P69" s="9" t="n"/>
    </row>
    <row r="70">
      <c r="A70" s="15" t="n"/>
      <c r="B70" s="9" t="n"/>
      <c r="C70" s="9" t="n"/>
      <c r="D70" s="9" t="n"/>
      <c r="E70" s="16" t="n"/>
      <c r="F70" s="16" t="n"/>
      <c r="G70" s="16" t="n"/>
      <c r="H70" s="17" t="n"/>
      <c r="I70" s="17" t="n"/>
      <c r="J70" s="9" t="n"/>
      <c r="K70" s="13">
        <f>IF(OR(E70="",F70=""),"",ROUND((MOD(F70-E70,1)-N(G70))*24,2))</f>
        <v/>
      </c>
      <c r="L70" s="13">
        <f>IF(OR(H70="",I70=""),"",I70-H70)</f>
        <v/>
      </c>
      <c r="M70" s="13">
        <f>IF(B70="","",IF(J70="Parado - cliente",IFERROR(INDEX(Equipamentos!$D$5:$D$10,MATCH(B70,Equipamentos!$A$5:$A$10,0)),0),IF(OR(J70="Parado - manutenção",J70="Sem serviço"),0,MAX(N(K70),IFERROR(INDEX(Equipamentos!$D$5:$D$10,MATCH(B70,Equipamentos!$A$5:$A$10,0)),0)))))</f>
        <v/>
      </c>
      <c r="N70" s="14">
        <f>IF(B70="","",IFERROR(INDEX(Equipamentos!$C$5:$C$10,MATCH(B70,Equipamentos!$A$5:$A$10,0)),0))</f>
        <v/>
      </c>
      <c r="O70" s="14">
        <f>IF(B70="","",M70*N70)</f>
        <v/>
      </c>
      <c r="P70" s="9" t="n"/>
    </row>
    <row r="71">
      <c r="A71" s="15" t="n"/>
      <c r="B71" s="9" t="n"/>
      <c r="C71" s="9" t="n"/>
      <c r="D71" s="9" t="n"/>
      <c r="E71" s="16" t="n"/>
      <c r="F71" s="16" t="n"/>
      <c r="G71" s="16" t="n"/>
      <c r="H71" s="17" t="n"/>
      <c r="I71" s="17" t="n"/>
      <c r="J71" s="9" t="n"/>
      <c r="K71" s="13">
        <f>IF(OR(E71="",F71=""),"",ROUND((MOD(F71-E71,1)-N(G71))*24,2))</f>
        <v/>
      </c>
      <c r="L71" s="13">
        <f>IF(OR(H71="",I71=""),"",I71-H71)</f>
        <v/>
      </c>
      <c r="M71" s="13">
        <f>IF(B71="","",IF(J71="Parado - cliente",IFERROR(INDEX(Equipamentos!$D$5:$D$10,MATCH(B71,Equipamentos!$A$5:$A$10,0)),0),IF(OR(J71="Parado - manutenção",J71="Sem serviço"),0,MAX(N(K71),IFERROR(INDEX(Equipamentos!$D$5:$D$10,MATCH(B71,Equipamentos!$A$5:$A$10,0)),0)))))</f>
        <v/>
      </c>
      <c r="N71" s="14">
        <f>IF(B71="","",IFERROR(INDEX(Equipamentos!$C$5:$C$10,MATCH(B71,Equipamentos!$A$5:$A$10,0)),0))</f>
        <v/>
      </c>
      <c r="O71" s="14">
        <f>IF(B71="","",M71*N71)</f>
        <v/>
      </c>
      <c r="P71" s="9" t="n"/>
    </row>
    <row r="72">
      <c r="A72" s="15" t="n"/>
      <c r="B72" s="9" t="n"/>
      <c r="C72" s="9" t="n"/>
      <c r="D72" s="9" t="n"/>
      <c r="E72" s="16" t="n"/>
      <c r="F72" s="16" t="n"/>
      <c r="G72" s="16" t="n"/>
      <c r="H72" s="17" t="n"/>
      <c r="I72" s="17" t="n"/>
      <c r="J72" s="9" t="n"/>
      <c r="K72" s="13">
        <f>IF(OR(E72="",F72=""),"",ROUND((MOD(F72-E72,1)-N(G72))*24,2))</f>
        <v/>
      </c>
      <c r="L72" s="13">
        <f>IF(OR(H72="",I72=""),"",I72-H72)</f>
        <v/>
      </c>
      <c r="M72" s="13">
        <f>IF(B72="","",IF(J72="Parado - cliente",IFERROR(INDEX(Equipamentos!$D$5:$D$10,MATCH(B72,Equipamentos!$A$5:$A$10,0)),0),IF(OR(J72="Parado - manutenção",J72="Sem serviço"),0,MAX(N(K72),IFERROR(INDEX(Equipamentos!$D$5:$D$10,MATCH(B72,Equipamentos!$A$5:$A$10,0)),0)))))</f>
        <v/>
      </c>
      <c r="N72" s="14">
        <f>IF(B72="","",IFERROR(INDEX(Equipamentos!$C$5:$C$10,MATCH(B72,Equipamentos!$A$5:$A$10,0)),0))</f>
        <v/>
      </c>
      <c r="O72" s="14">
        <f>IF(B72="","",M72*N72)</f>
        <v/>
      </c>
      <c r="P72" s="9" t="n"/>
    </row>
    <row r="73">
      <c r="A73" s="15" t="n"/>
      <c r="B73" s="9" t="n"/>
      <c r="C73" s="9" t="n"/>
      <c r="D73" s="9" t="n"/>
      <c r="E73" s="16" t="n"/>
      <c r="F73" s="16" t="n"/>
      <c r="G73" s="16" t="n"/>
      <c r="H73" s="17" t="n"/>
      <c r="I73" s="17" t="n"/>
      <c r="J73" s="9" t="n"/>
      <c r="K73" s="13">
        <f>IF(OR(E73="",F73=""),"",ROUND((MOD(F73-E73,1)-N(G73))*24,2))</f>
        <v/>
      </c>
      <c r="L73" s="13">
        <f>IF(OR(H73="",I73=""),"",I73-H73)</f>
        <v/>
      </c>
      <c r="M73" s="13">
        <f>IF(B73="","",IF(J73="Parado - cliente",IFERROR(INDEX(Equipamentos!$D$5:$D$10,MATCH(B73,Equipamentos!$A$5:$A$10,0)),0),IF(OR(J73="Parado - manutenção",J73="Sem serviço"),0,MAX(N(K73),IFERROR(INDEX(Equipamentos!$D$5:$D$10,MATCH(B73,Equipamentos!$A$5:$A$10,0)),0)))))</f>
        <v/>
      </c>
      <c r="N73" s="14">
        <f>IF(B73="","",IFERROR(INDEX(Equipamentos!$C$5:$C$10,MATCH(B73,Equipamentos!$A$5:$A$10,0)),0))</f>
        <v/>
      </c>
      <c r="O73" s="14">
        <f>IF(B73="","",M73*N73)</f>
        <v/>
      </c>
      <c r="P73" s="9" t="n"/>
    </row>
    <row r="74">
      <c r="A74" s="15" t="n"/>
      <c r="B74" s="9" t="n"/>
      <c r="C74" s="9" t="n"/>
      <c r="D74" s="9" t="n"/>
      <c r="E74" s="16" t="n"/>
      <c r="F74" s="16" t="n"/>
      <c r="G74" s="16" t="n"/>
      <c r="H74" s="17" t="n"/>
      <c r="I74" s="17" t="n"/>
      <c r="J74" s="9" t="n"/>
      <c r="K74" s="13">
        <f>IF(OR(E74="",F74=""),"",ROUND((MOD(F74-E74,1)-N(G74))*24,2))</f>
        <v/>
      </c>
      <c r="L74" s="13">
        <f>IF(OR(H74="",I74=""),"",I74-H74)</f>
        <v/>
      </c>
      <c r="M74" s="13">
        <f>IF(B74="","",IF(J74="Parado - cliente",IFERROR(INDEX(Equipamentos!$D$5:$D$10,MATCH(B74,Equipamentos!$A$5:$A$10,0)),0),IF(OR(J74="Parado - manutenção",J74="Sem serviço"),0,MAX(N(K74),IFERROR(INDEX(Equipamentos!$D$5:$D$10,MATCH(B74,Equipamentos!$A$5:$A$10,0)),0)))))</f>
        <v/>
      </c>
      <c r="N74" s="14">
        <f>IF(B74="","",IFERROR(INDEX(Equipamentos!$C$5:$C$10,MATCH(B74,Equipamentos!$A$5:$A$10,0)),0))</f>
        <v/>
      </c>
      <c r="O74" s="14">
        <f>IF(B74="","",M74*N74)</f>
        <v/>
      </c>
      <c r="P74" s="9" t="n"/>
    </row>
    <row r="75">
      <c r="A75" s="15" t="n"/>
      <c r="B75" s="9" t="n"/>
      <c r="C75" s="9" t="n"/>
      <c r="D75" s="9" t="n"/>
      <c r="E75" s="16" t="n"/>
      <c r="F75" s="16" t="n"/>
      <c r="G75" s="16" t="n"/>
      <c r="H75" s="17" t="n"/>
      <c r="I75" s="17" t="n"/>
      <c r="J75" s="9" t="n"/>
      <c r="K75" s="13">
        <f>IF(OR(E75="",F75=""),"",ROUND((MOD(F75-E75,1)-N(G75))*24,2))</f>
        <v/>
      </c>
      <c r="L75" s="13">
        <f>IF(OR(H75="",I75=""),"",I75-H75)</f>
        <v/>
      </c>
      <c r="M75" s="13">
        <f>IF(B75="","",IF(J75="Parado - cliente",IFERROR(INDEX(Equipamentos!$D$5:$D$10,MATCH(B75,Equipamentos!$A$5:$A$10,0)),0),IF(OR(J75="Parado - manutenção",J75="Sem serviço"),0,MAX(N(K75),IFERROR(INDEX(Equipamentos!$D$5:$D$10,MATCH(B75,Equipamentos!$A$5:$A$10,0)),0)))))</f>
        <v/>
      </c>
      <c r="N75" s="14">
        <f>IF(B75="","",IFERROR(INDEX(Equipamentos!$C$5:$C$10,MATCH(B75,Equipamentos!$A$5:$A$10,0)),0))</f>
        <v/>
      </c>
      <c r="O75" s="14">
        <f>IF(B75="","",M75*N75)</f>
        <v/>
      </c>
      <c r="P75" s="9" t="n"/>
    </row>
    <row r="76">
      <c r="A76" s="15" t="n"/>
      <c r="B76" s="9" t="n"/>
      <c r="C76" s="9" t="n"/>
      <c r="D76" s="9" t="n"/>
      <c r="E76" s="16" t="n"/>
      <c r="F76" s="16" t="n"/>
      <c r="G76" s="16" t="n"/>
      <c r="H76" s="17" t="n"/>
      <c r="I76" s="17" t="n"/>
      <c r="J76" s="9" t="n"/>
      <c r="K76" s="13">
        <f>IF(OR(E76="",F76=""),"",ROUND((MOD(F76-E76,1)-N(G76))*24,2))</f>
        <v/>
      </c>
      <c r="L76" s="13">
        <f>IF(OR(H76="",I76=""),"",I76-H76)</f>
        <v/>
      </c>
      <c r="M76" s="13">
        <f>IF(B76="","",IF(J76="Parado - cliente",IFERROR(INDEX(Equipamentos!$D$5:$D$10,MATCH(B76,Equipamentos!$A$5:$A$10,0)),0),IF(OR(J76="Parado - manutenção",J76="Sem serviço"),0,MAX(N(K76),IFERROR(INDEX(Equipamentos!$D$5:$D$10,MATCH(B76,Equipamentos!$A$5:$A$10,0)),0)))))</f>
        <v/>
      </c>
      <c r="N76" s="14">
        <f>IF(B76="","",IFERROR(INDEX(Equipamentos!$C$5:$C$10,MATCH(B76,Equipamentos!$A$5:$A$10,0)),0))</f>
        <v/>
      </c>
      <c r="O76" s="14">
        <f>IF(B76="","",M76*N76)</f>
        <v/>
      </c>
      <c r="P76" s="9" t="n"/>
    </row>
    <row r="77">
      <c r="A77" s="15" t="n"/>
      <c r="B77" s="9" t="n"/>
      <c r="C77" s="9" t="n"/>
      <c r="D77" s="9" t="n"/>
      <c r="E77" s="16" t="n"/>
      <c r="F77" s="16" t="n"/>
      <c r="G77" s="16" t="n"/>
      <c r="H77" s="17" t="n"/>
      <c r="I77" s="17" t="n"/>
      <c r="J77" s="9" t="n"/>
      <c r="K77" s="13">
        <f>IF(OR(E77="",F77=""),"",ROUND((MOD(F77-E77,1)-N(G77))*24,2))</f>
        <v/>
      </c>
      <c r="L77" s="13">
        <f>IF(OR(H77="",I77=""),"",I77-H77)</f>
        <v/>
      </c>
      <c r="M77" s="13">
        <f>IF(B77="","",IF(J77="Parado - cliente",IFERROR(INDEX(Equipamentos!$D$5:$D$10,MATCH(B77,Equipamentos!$A$5:$A$10,0)),0),IF(OR(J77="Parado - manutenção",J77="Sem serviço"),0,MAX(N(K77),IFERROR(INDEX(Equipamentos!$D$5:$D$10,MATCH(B77,Equipamentos!$A$5:$A$10,0)),0)))))</f>
        <v/>
      </c>
      <c r="N77" s="14">
        <f>IF(B77="","",IFERROR(INDEX(Equipamentos!$C$5:$C$10,MATCH(B77,Equipamentos!$A$5:$A$10,0)),0))</f>
        <v/>
      </c>
      <c r="O77" s="14">
        <f>IF(B77="","",M77*N77)</f>
        <v/>
      </c>
      <c r="P77" s="9" t="n"/>
    </row>
    <row r="78">
      <c r="A78" s="15" t="n"/>
      <c r="B78" s="9" t="n"/>
      <c r="C78" s="9" t="n"/>
      <c r="D78" s="9" t="n"/>
      <c r="E78" s="16" t="n"/>
      <c r="F78" s="16" t="n"/>
      <c r="G78" s="16" t="n"/>
      <c r="H78" s="17" t="n"/>
      <c r="I78" s="17" t="n"/>
      <c r="J78" s="9" t="n"/>
      <c r="K78" s="13">
        <f>IF(OR(E78="",F78=""),"",ROUND((MOD(F78-E78,1)-N(G78))*24,2))</f>
        <v/>
      </c>
      <c r="L78" s="13">
        <f>IF(OR(H78="",I78=""),"",I78-H78)</f>
        <v/>
      </c>
      <c r="M78" s="13">
        <f>IF(B78="","",IF(J78="Parado - cliente",IFERROR(INDEX(Equipamentos!$D$5:$D$10,MATCH(B78,Equipamentos!$A$5:$A$10,0)),0),IF(OR(J78="Parado - manutenção",J78="Sem serviço"),0,MAX(N(K78),IFERROR(INDEX(Equipamentos!$D$5:$D$10,MATCH(B78,Equipamentos!$A$5:$A$10,0)),0)))))</f>
        <v/>
      </c>
      <c r="N78" s="14">
        <f>IF(B78="","",IFERROR(INDEX(Equipamentos!$C$5:$C$10,MATCH(B78,Equipamentos!$A$5:$A$10,0)),0))</f>
        <v/>
      </c>
      <c r="O78" s="14">
        <f>IF(B78="","",M78*N78)</f>
        <v/>
      </c>
      <c r="P78" s="9" t="n"/>
    </row>
    <row r="79">
      <c r="A79" s="15" t="n"/>
      <c r="B79" s="9" t="n"/>
      <c r="C79" s="9" t="n"/>
      <c r="D79" s="9" t="n"/>
      <c r="E79" s="16" t="n"/>
      <c r="F79" s="16" t="n"/>
      <c r="G79" s="16" t="n"/>
      <c r="H79" s="17" t="n"/>
      <c r="I79" s="17" t="n"/>
      <c r="J79" s="9" t="n"/>
      <c r="K79" s="13">
        <f>IF(OR(E79="",F79=""),"",ROUND((MOD(F79-E79,1)-N(G79))*24,2))</f>
        <v/>
      </c>
      <c r="L79" s="13">
        <f>IF(OR(H79="",I79=""),"",I79-H79)</f>
        <v/>
      </c>
      <c r="M79" s="13">
        <f>IF(B79="","",IF(J79="Parado - cliente",IFERROR(INDEX(Equipamentos!$D$5:$D$10,MATCH(B79,Equipamentos!$A$5:$A$10,0)),0),IF(OR(J79="Parado - manutenção",J79="Sem serviço"),0,MAX(N(K79),IFERROR(INDEX(Equipamentos!$D$5:$D$10,MATCH(B79,Equipamentos!$A$5:$A$10,0)),0)))))</f>
        <v/>
      </c>
      <c r="N79" s="14">
        <f>IF(B79="","",IFERROR(INDEX(Equipamentos!$C$5:$C$10,MATCH(B79,Equipamentos!$A$5:$A$10,0)),0))</f>
        <v/>
      </c>
      <c r="O79" s="14">
        <f>IF(B79="","",M79*N79)</f>
        <v/>
      </c>
      <c r="P79" s="9" t="n"/>
    </row>
    <row r="80">
      <c r="A80" s="15" t="n"/>
      <c r="B80" s="9" t="n"/>
      <c r="C80" s="9" t="n"/>
      <c r="D80" s="9" t="n"/>
      <c r="E80" s="16" t="n"/>
      <c r="F80" s="16" t="n"/>
      <c r="G80" s="16" t="n"/>
      <c r="H80" s="17" t="n"/>
      <c r="I80" s="17" t="n"/>
      <c r="J80" s="9" t="n"/>
      <c r="K80" s="13">
        <f>IF(OR(E80="",F80=""),"",ROUND((MOD(F80-E80,1)-N(G80))*24,2))</f>
        <v/>
      </c>
      <c r="L80" s="13">
        <f>IF(OR(H80="",I80=""),"",I80-H80)</f>
        <v/>
      </c>
      <c r="M80" s="13">
        <f>IF(B80="","",IF(J80="Parado - cliente",IFERROR(INDEX(Equipamentos!$D$5:$D$10,MATCH(B80,Equipamentos!$A$5:$A$10,0)),0),IF(OR(J80="Parado - manutenção",J80="Sem serviço"),0,MAX(N(K80),IFERROR(INDEX(Equipamentos!$D$5:$D$10,MATCH(B80,Equipamentos!$A$5:$A$10,0)),0)))))</f>
        <v/>
      </c>
      <c r="N80" s="14">
        <f>IF(B80="","",IFERROR(INDEX(Equipamentos!$C$5:$C$10,MATCH(B80,Equipamentos!$A$5:$A$10,0)),0))</f>
        <v/>
      </c>
      <c r="O80" s="14">
        <f>IF(B80="","",M80*N80)</f>
        <v/>
      </c>
      <c r="P80" s="9" t="n"/>
    </row>
    <row r="81">
      <c r="A81" s="15" t="n"/>
      <c r="B81" s="9" t="n"/>
      <c r="C81" s="9" t="n"/>
      <c r="D81" s="9" t="n"/>
      <c r="E81" s="16" t="n"/>
      <c r="F81" s="16" t="n"/>
      <c r="G81" s="16" t="n"/>
      <c r="H81" s="17" t="n"/>
      <c r="I81" s="17" t="n"/>
      <c r="J81" s="9" t="n"/>
      <c r="K81" s="13">
        <f>IF(OR(E81="",F81=""),"",ROUND((MOD(F81-E81,1)-N(G81))*24,2))</f>
        <v/>
      </c>
      <c r="L81" s="13">
        <f>IF(OR(H81="",I81=""),"",I81-H81)</f>
        <v/>
      </c>
      <c r="M81" s="13">
        <f>IF(B81="","",IF(J81="Parado - cliente",IFERROR(INDEX(Equipamentos!$D$5:$D$10,MATCH(B81,Equipamentos!$A$5:$A$10,0)),0),IF(OR(J81="Parado - manutenção",J81="Sem serviço"),0,MAX(N(K81),IFERROR(INDEX(Equipamentos!$D$5:$D$10,MATCH(B81,Equipamentos!$A$5:$A$10,0)),0)))))</f>
        <v/>
      </c>
      <c r="N81" s="14">
        <f>IF(B81="","",IFERROR(INDEX(Equipamentos!$C$5:$C$10,MATCH(B81,Equipamentos!$A$5:$A$10,0)),0))</f>
        <v/>
      </c>
      <c r="O81" s="14">
        <f>IF(B81="","",M81*N81)</f>
        <v/>
      </c>
      <c r="P81" s="9" t="n"/>
    </row>
    <row r="82">
      <c r="A82" s="15" t="n"/>
      <c r="B82" s="9" t="n"/>
      <c r="C82" s="9" t="n"/>
      <c r="D82" s="9" t="n"/>
      <c r="E82" s="16" t="n"/>
      <c r="F82" s="16" t="n"/>
      <c r="G82" s="16" t="n"/>
      <c r="H82" s="17" t="n"/>
      <c r="I82" s="17" t="n"/>
      <c r="J82" s="9" t="n"/>
      <c r="K82" s="13">
        <f>IF(OR(E82="",F82=""),"",ROUND((MOD(F82-E82,1)-N(G82))*24,2))</f>
        <v/>
      </c>
      <c r="L82" s="13">
        <f>IF(OR(H82="",I82=""),"",I82-H82)</f>
        <v/>
      </c>
      <c r="M82" s="13">
        <f>IF(B82="","",IF(J82="Parado - cliente",IFERROR(INDEX(Equipamentos!$D$5:$D$10,MATCH(B82,Equipamentos!$A$5:$A$10,0)),0),IF(OR(J82="Parado - manutenção",J82="Sem serviço"),0,MAX(N(K82),IFERROR(INDEX(Equipamentos!$D$5:$D$10,MATCH(B82,Equipamentos!$A$5:$A$10,0)),0)))))</f>
        <v/>
      </c>
      <c r="N82" s="14">
        <f>IF(B82="","",IFERROR(INDEX(Equipamentos!$C$5:$C$10,MATCH(B82,Equipamentos!$A$5:$A$10,0)),0))</f>
        <v/>
      </c>
      <c r="O82" s="14">
        <f>IF(B82="","",M82*N82)</f>
        <v/>
      </c>
      <c r="P82" s="9" t="n"/>
    </row>
    <row r="83">
      <c r="A83" s="15" t="n"/>
      <c r="B83" s="9" t="n"/>
      <c r="C83" s="9" t="n"/>
      <c r="D83" s="9" t="n"/>
      <c r="E83" s="16" t="n"/>
      <c r="F83" s="16" t="n"/>
      <c r="G83" s="16" t="n"/>
      <c r="H83" s="17" t="n"/>
      <c r="I83" s="17" t="n"/>
      <c r="J83" s="9" t="n"/>
      <c r="K83" s="13">
        <f>IF(OR(E83="",F83=""),"",ROUND((MOD(F83-E83,1)-N(G83))*24,2))</f>
        <v/>
      </c>
      <c r="L83" s="13">
        <f>IF(OR(H83="",I83=""),"",I83-H83)</f>
        <v/>
      </c>
      <c r="M83" s="13">
        <f>IF(B83="","",IF(J83="Parado - cliente",IFERROR(INDEX(Equipamentos!$D$5:$D$10,MATCH(B83,Equipamentos!$A$5:$A$10,0)),0),IF(OR(J83="Parado - manutenção",J83="Sem serviço"),0,MAX(N(K83),IFERROR(INDEX(Equipamentos!$D$5:$D$10,MATCH(B83,Equipamentos!$A$5:$A$10,0)),0)))))</f>
        <v/>
      </c>
      <c r="N83" s="14">
        <f>IF(B83="","",IFERROR(INDEX(Equipamentos!$C$5:$C$10,MATCH(B83,Equipamentos!$A$5:$A$10,0)),0))</f>
        <v/>
      </c>
      <c r="O83" s="14">
        <f>IF(B83="","",M83*N83)</f>
        <v/>
      </c>
      <c r="P83" s="9" t="n"/>
    </row>
    <row r="84">
      <c r="A84" s="15" t="n"/>
      <c r="B84" s="9" t="n"/>
      <c r="C84" s="9" t="n"/>
      <c r="D84" s="9" t="n"/>
      <c r="E84" s="16" t="n"/>
      <c r="F84" s="16" t="n"/>
      <c r="G84" s="16" t="n"/>
      <c r="H84" s="17" t="n"/>
      <c r="I84" s="17" t="n"/>
      <c r="J84" s="9" t="n"/>
      <c r="K84" s="13">
        <f>IF(OR(E84="",F84=""),"",ROUND((MOD(F84-E84,1)-N(G84))*24,2))</f>
        <v/>
      </c>
      <c r="L84" s="13">
        <f>IF(OR(H84="",I84=""),"",I84-H84)</f>
        <v/>
      </c>
      <c r="M84" s="13">
        <f>IF(B84="","",IF(J84="Parado - cliente",IFERROR(INDEX(Equipamentos!$D$5:$D$10,MATCH(B84,Equipamentos!$A$5:$A$10,0)),0),IF(OR(J84="Parado - manutenção",J84="Sem serviço"),0,MAX(N(K84),IFERROR(INDEX(Equipamentos!$D$5:$D$10,MATCH(B84,Equipamentos!$A$5:$A$10,0)),0)))))</f>
        <v/>
      </c>
      <c r="N84" s="14">
        <f>IF(B84="","",IFERROR(INDEX(Equipamentos!$C$5:$C$10,MATCH(B84,Equipamentos!$A$5:$A$10,0)),0))</f>
        <v/>
      </c>
      <c r="O84" s="14">
        <f>IF(B84="","",M84*N84)</f>
        <v/>
      </c>
      <c r="P84" s="9" t="n"/>
    </row>
    <row r="85">
      <c r="A85" s="15" t="n"/>
      <c r="B85" s="9" t="n"/>
      <c r="C85" s="9" t="n"/>
      <c r="D85" s="9" t="n"/>
      <c r="E85" s="16" t="n"/>
      <c r="F85" s="16" t="n"/>
      <c r="G85" s="16" t="n"/>
      <c r="H85" s="17" t="n"/>
      <c r="I85" s="17" t="n"/>
      <c r="J85" s="9" t="n"/>
      <c r="K85" s="13">
        <f>IF(OR(E85="",F85=""),"",ROUND((MOD(F85-E85,1)-N(G85))*24,2))</f>
        <v/>
      </c>
      <c r="L85" s="13">
        <f>IF(OR(H85="",I85=""),"",I85-H85)</f>
        <v/>
      </c>
      <c r="M85" s="13">
        <f>IF(B85="","",IF(J85="Parado - cliente",IFERROR(INDEX(Equipamentos!$D$5:$D$10,MATCH(B85,Equipamentos!$A$5:$A$10,0)),0),IF(OR(J85="Parado - manutenção",J85="Sem serviço"),0,MAX(N(K85),IFERROR(INDEX(Equipamentos!$D$5:$D$10,MATCH(B85,Equipamentos!$A$5:$A$10,0)),0)))))</f>
        <v/>
      </c>
      <c r="N85" s="14">
        <f>IF(B85="","",IFERROR(INDEX(Equipamentos!$C$5:$C$10,MATCH(B85,Equipamentos!$A$5:$A$10,0)),0))</f>
        <v/>
      </c>
      <c r="O85" s="14">
        <f>IF(B85="","",M85*N85)</f>
        <v/>
      </c>
      <c r="P85" s="9" t="n"/>
    </row>
    <row r="86">
      <c r="A86" s="15" t="n"/>
      <c r="B86" s="9" t="n"/>
      <c r="C86" s="9" t="n"/>
      <c r="D86" s="9" t="n"/>
      <c r="E86" s="16" t="n"/>
      <c r="F86" s="16" t="n"/>
      <c r="G86" s="16" t="n"/>
      <c r="H86" s="17" t="n"/>
      <c r="I86" s="17" t="n"/>
      <c r="J86" s="9" t="n"/>
      <c r="K86" s="13">
        <f>IF(OR(E86="",F86=""),"",ROUND((MOD(F86-E86,1)-N(G86))*24,2))</f>
        <v/>
      </c>
      <c r="L86" s="13">
        <f>IF(OR(H86="",I86=""),"",I86-H86)</f>
        <v/>
      </c>
      <c r="M86" s="13">
        <f>IF(B86="","",IF(J86="Parado - cliente",IFERROR(INDEX(Equipamentos!$D$5:$D$10,MATCH(B86,Equipamentos!$A$5:$A$10,0)),0),IF(OR(J86="Parado - manutenção",J86="Sem serviço"),0,MAX(N(K86),IFERROR(INDEX(Equipamentos!$D$5:$D$10,MATCH(B86,Equipamentos!$A$5:$A$10,0)),0)))))</f>
        <v/>
      </c>
      <c r="N86" s="14">
        <f>IF(B86="","",IFERROR(INDEX(Equipamentos!$C$5:$C$10,MATCH(B86,Equipamentos!$A$5:$A$10,0)),0))</f>
        <v/>
      </c>
      <c r="O86" s="14">
        <f>IF(B86="","",M86*N86)</f>
        <v/>
      </c>
      <c r="P86" s="9" t="n"/>
    </row>
    <row r="87">
      <c r="A87" s="15" t="n"/>
      <c r="B87" s="9" t="n"/>
      <c r="C87" s="9" t="n"/>
      <c r="D87" s="9" t="n"/>
      <c r="E87" s="16" t="n"/>
      <c r="F87" s="16" t="n"/>
      <c r="G87" s="16" t="n"/>
      <c r="H87" s="17" t="n"/>
      <c r="I87" s="17" t="n"/>
      <c r="J87" s="9" t="n"/>
      <c r="K87" s="13">
        <f>IF(OR(E87="",F87=""),"",ROUND((MOD(F87-E87,1)-N(G87))*24,2))</f>
        <v/>
      </c>
      <c r="L87" s="13">
        <f>IF(OR(H87="",I87=""),"",I87-H87)</f>
        <v/>
      </c>
      <c r="M87" s="13">
        <f>IF(B87="","",IF(J87="Parado - cliente",IFERROR(INDEX(Equipamentos!$D$5:$D$10,MATCH(B87,Equipamentos!$A$5:$A$10,0)),0),IF(OR(J87="Parado - manutenção",J87="Sem serviço"),0,MAX(N(K87),IFERROR(INDEX(Equipamentos!$D$5:$D$10,MATCH(B87,Equipamentos!$A$5:$A$10,0)),0)))))</f>
        <v/>
      </c>
      <c r="N87" s="14">
        <f>IF(B87="","",IFERROR(INDEX(Equipamentos!$C$5:$C$10,MATCH(B87,Equipamentos!$A$5:$A$10,0)),0))</f>
        <v/>
      </c>
      <c r="O87" s="14">
        <f>IF(B87="","",M87*N87)</f>
        <v/>
      </c>
      <c r="P87" s="9" t="n"/>
    </row>
    <row r="88">
      <c r="A88" s="15" t="n"/>
      <c r="B88" s="9" t="n"/>
      <c r="C88" s="9" t="n"/>
      <c r="D88" s="9" t="n"/>
      <c r="E88" s="16" t="n"/>
      <c r="F88" s="16" t="n"/>
      <c r="G88" s="16" t="n"/>
      <c r="H88" s="17" t="n"/>
      <c r="I88" s="17" t="n"/>
      <c r="J88" s="9" t="n"/>
      <c r="K88" s="13">
        <f>IF(OR(E88="",F88=""),"",ROUND((MOD(F88-E88,1)-N(G88))*24,2))</f>
        <v/>
      </c>
      <c r="L88" s="13">
        <f>IF(OR(H88="",I88=""),"",I88-H88)</f>
        <v/>
      </c>
      <c r="M88" s="13">
        <f>IF(B88="","",IF(J88="Parado - cliente",IFERROR(INDEX(Equipamentos!$D$5:$D$10,MATCH(B88,Equipamentos!$A$5:$A$10,0)),0),IF(OR(J88="Parado - manutenção",J88="Sem serviço"),0,MAX(N(K88),IFERROR(INDEX(Equipamentos!$D$5:$D$10,MATCH(B88,Equipamentos!$A$5:$A$10,0)),0)))))</f>
        <v/>
      </c>
      <c r="N88" s="14">
        <f>IF(B88="","",IFERROR(INDEX(Equipamentos!$C$5:$C$10,MATCH(B88,Equipamentos!$A$5:$A$10,0)),0))</f>
        <v/>
      </c>
      <c r="O88" s="14">
        <f>IF(B88="","",M88*N88)</f>
        <v/>
      </c>
      <c r="P88" s="9" t="n"/>
    </row>
    <row r="89">
      <c r="A89" s="15" t="n"/>
      <c r="B89" s="9" t="n"/>
      <c r="C89" s="9" t="n"/>
      <c r="D89" s="9" t="n"/>
      <c r="E89" s="16" t="n"/>
      <c r="F89" s="16" t="n"/>
      <c r="G89" s="16" t="n"/>
      <c r="H89" s="17" t="n"/>
      <c r="I89" s="17" t="n"/>
      <c r="J89" s="9" t="n"/>
      <c r="K89" s="13">
        <f>IF(OR(E89="",F89=""),"",ROUND((MOD(F89-E89,1)-N(G89))*24,2))</f>
        <v/>
      </c>
      <c r="L89" s="13">
        <f>IF(OR(H89="",I89=""),"",I89-H89)</f>
        <v/>
      </c>
      <c r="M89" s="13">
        <f>IF(B89="","",IF(J89="Parado - cliente",IFERROR(INDEX(Equipamentos!$D$5:$D$10,MATCH(B89,Equipamentos!$A$5:$A$10,0)),0),IF(OR(J89="Parado - manutenção",J89="Sem serviço"),0,MAX(N(K89),IFERROR(INDEX(Equipamentos!$D$5:$D$10,MATCH(B89,Equipamentos!$A$5:$A$10,0)),0)))))</f>
        <v/>
      </c>
      <c r="N89" s="14">
        <f>IF(B89="","",IFERROR(INDEX(Equipamentos!$C$5:$C$10,MATCH(B89,Equipamentos!$A$5:$A$10,0)),0))</f>
        <v/>
      </c>
      <c r="O89" s="14">
        <f>IF(B89="","",M89*N89)</f>
        <v/>
      </c>
      <c r="P89" s="9" t="n"/>
    </row>
    <row r="90">
      <c r="A90" s="15" t="n"/>
      <c r="B90" s="9" t="n"/>
      <c r="C90" s="9" t="n"/>
      <c r="D90" s="9" t="n"/>
      <c r="E90" s="16" t="n"/>
      <c r="F90" s="16" t="n"/>
      <c r="G90" s="16" t="n"/>
      <c r="H90" s="17" t="n"/>
      <c r="I90" s="17" t="n"/>
      <c r="J90" s="9" t="n"/>
      <c r="K90" s="13">
        <f>IF(OR(E90="",F90=""),"",ROUND((MOD(F90-E90,1)-N(G90))*24,2))</f>
        <v/>
      </c>
      <c r="L90" s="13">
        <f>IF(OR(H90="",I90=""),"",I90-H90)</f>
        <v/>
      </c>
      <c r="M90" s="13">
        <f>IF(B90="","",IF(J90="Parado - cliente",IFERROR(INDEX(Equipamentos!$D$5:$D$10,MATCH(B90,Equipamentos!$A$5:$A$10,0)),0),IF(OR(J90="Parado - manutenção",J90="Sem serviço"),0,MAX(N(K90),IFERROR(INDEX(Equipamentos!$D$5:$D$10,MATCH(B90,Equipamentos!$A$5:$A$10,0)),0)))))</f>
        <v/>
      </c>
      <c r="N90" s="14">
        <f>IF(B90="","",IFERROR(INDEX(Equipamentos!$C$5:$C$10,MATCH(B90,Equipamentos!$A$5:$A$10,0)),0))</f>
        <v/>
      </c>
      <c r="O90" s="14">
        <f>IF(B90="","",M90*N90)</f>
        <v/>
      </c>
      <c r="P90" s="9" t="n"/>
    </row>
    <row r="91">
      <c r="A91" s="15" t="n"/>
      <c r="B91" s="9" t="n"/>
      <c r="C91" s="9" t="n"/>
      <c r="D91" s="9" t="n"/>
      <c r="E91" s="16" t="n"/>
      <c r="F91" s="16" t="n"/>
      <c r="G91" s="16" t="n"/>
      <c r="H91" s="17" t="n"/>
      <c r="I91" s="17" t="n"/>
      <c r="J91" s="9" t="n"/>
      <c r="K91" s="13">
        <f>IF(OR(E91="",F91=""),"",ROUND((MOD(F91-E91,1)-N(G91))*24,2))</f>
        <v/>
      </c>
      <c r="L91" s="13">
        <f>IF(OR(H91="",I91=""),"",I91-H91)</f>
        <v/>
      </c>
      <c r="M91" s="13">
        <f>IF(B91="","",IF(J91="Parado - cliente",IFERROR(INDEX(Equipamentos!$D$5:$D$10,MATCH(B91,Equipamentos!$A$5:$A$10,0)),0),IF(OR(J91="Parado - manutenção",J91="Sem serviço"),0,MAX(N(K91),IFERROR(INDEX(Equipamentos!$D$5:$D$10,MATCH(B91,Equipamentos!$A$5:$A$10,0)),0)))))</f>
        <v/>
      </c>
      <c r="N91" s="14">
        <f>IF(B91="","",IFERROR(INDEX(Equipamentos!$C$5:$C$10,MATCH(B91,Equipamentos!$A$5:$A$10,0)),0))</f>
        <v/>
      </c>
      <c r="O91" s="14">
        <f>IF(B91="","",M91*N91)</f>
        <v/>
      </c>
      <c r="P91" s="9" t="n"/>
    </row>
    <row r="92">
      <c r="A92" s="15" t="n"/>
      <c r="B92" s="9" t="n"/>
      <c r="C92" s="9" t="n"/>
      <c r="D92" s="9" t="n"/>
      <c r="E92" s="16" t="n"/>
      <c r="F92" s="16" t="n"/>
      <c r="G92" s="16" t="n"/>
      <c r="H92" s="17" t="n"/>
      <c r="I92" s="17" t="n"/>
      <c r="J92" s="9" t="n"/>
      <c r="K92" s="13">
        <f>IF(OR(E92="",F92=""),"",ROUND((MOD(F92-E92,1)-N(G92))*24,2))</f>
        <v/>
      </c>
      <c r="L92" s="13">
        <f>IF(OR(H92="",I92=""),"",I92-H92)</f>
        <v/>
      </c>
      <c r="M92" s="13">
        <f>IF(B92="","",IF(J92="Parado - cliente",IFERROR(INDEX(Equipamentos!$D$5:$D$10,MATCH(B92,Equipamentos!$A$5:$A$10,0)),0),IF(OR(J92="Parado - manutenção",J92="Sem serviço"),0,MAX(N(K92),IFERROR(INDEX(Equipamentos!$D$5:$D$10,MATCH(B92,Equipamentos!$A$5:$A$10,0)),0)))))</f>
        <v/>
      </c>
      <c r="N92" s="14">
        <f>IF(B92="","",IFERROR(INDEX(Equipamentos!$C$5:$C$10,MATCH(B92,Equipamentos!$A$5:$A$10,0)),0))</f>
        <v/>
      </c>
      <c r="O92" s="14">
        <f>IF(B92="","",M92*N92)</f>
        <v/>
      </c>
      <c r="P92" s="9" t="n"/>
    </row>
    <row r="93">
      <c r="A93" s="15" t="n"/>
      <c r="B93" s="9" t="n"/>
      <c r="C93" s="9" t="n"/>
      <c r="D93" s="9" t="n"/>
      <c r="E93" s="16" t="n"/>
      <c r="F93" s="16" t="n"/>
      <c r="G93" s="16" t="n"/>
      <c r="H93" s="17" t="n"/>
      <c r="I93" s="17" t="n"/>
      <c r="J93" s="9" t="n"/>
      <c r="K93" s="13">
        <f>IF(OR(E93="",F93=""),"",ROUND((MOD(F93-E93,1)-N(G93))*24,2))</f>
        <v/>
      </c>
      <c r="L93" s="13">
        <f>IF(OR(H93="",I93=""),"",I93-H93)</f>
        <v/>
      </c>
      <c r="M93" s="13">
        <f>IF(B93="","",IF(J93="Parado - cliente",IFERROR(INDEX(Equipamentos!$D$5:$D$10,MATCH(B93,Equipamentos!$A$5:$A$10,0)),0),IF(OR(J93="Parado - manutenção",J93="Sem serviço"),0,MAX(N(K93),IFERROR(INDEX(Equipamentos!$D$5:$D$10,MATCH(B93,Equipamentos!$A$5:$A$10,0)),0)))))</f>
        <v/>
      </c>
      <c r="N93" s="14">
        <f>IF(B93="","",IFERROR(INDEX(Equipamentos!$C$5:$C$10,MATCH(B93,Equipamentos!$A$5:$A$10,0)),0))</f>
        <v/>
      </c>
      <c r="O93" s="14">
        <f>IF(B93="","",M93*N93)</f>
        <v/>
      </c>
      <c r="P93" s="9" t="n"/>
    </row>
    <row r="94">
      <c r="A94" s="15" t="n"/>
      <c r="B94" s="9" t="n"/>
      <c r="C94" s="9" t="n"/>
      <c r="D94" s="9" t="n"/>
      <c r="E94" s="16" t="n"/>
      <c r="F94" s="16" t="n"/>
      <c r="G94" s="16" t="n"/>
      <c r="H94" s="17" t="n"/>
      <c r="I94" s="17" t="n"/>
      <c r="J94" s="9" t="n"/>
      <c r="K94" s="13">
        <f>IF(OR(E94="",F94=""),"",ROUND((MOD(F94-E94,1)-N(G94))*24,2))</f>
        <v/>
      </c>
      <c r="L94" s="13">
        <f>IF(OR(H94="",I94=""),"",I94-H94)</f>
        <v/>
      </c>
      <c r="M94" s="13">
        <f>IF(B94="","",IF(J94="Parado - cliente",IFERROR(INDEX(Equipamentos!$D$5:$D$10,MATCH(B94,Equipamentos!$A$5:$A$10,0)),0),IF(OR(J94="Parado - manutenção",J94="Sem serviço"),0,MAX(N(K94),IFERROR(INDEX(Equipamentos!$D$5:$D$10,MATCH(B94,Equipamentos!$A$5:$A$10,0)),0)))))</f>
        <v/>
      </c>
      <c r="N94" s="14">
        <f>IF(B94="","",IFERROR(INDEX(Equipamentos!$C$5:$C$10,MATCH(B94,Equipamentos!$A$5:$A$10,0)),0))</f>
        <v/>
      </c>
      <c r="O94" s="14">
        <f>IF(B94="","",M94*N94)</f>
        <v/>
      </c>
      <c r="P94" s="9" t="n"/>
    </row>
    <row r="95">
      <c r="A95" s="15" t="n"/>
      <c r="B95" s="9" t="n"/>
      <c r="C95" s="9" t="n"/>
      <c r="D95" s="9" t="n"/>
      <c r="E95" s="16" t="n"/>
      <c r="F95" s="16" t="n"/>
      <c r="G95" s="16" t="n"/>
      <c r="H95" s="17" t="n"/>
      <c r="I95" s="17" t="n"/>
      <c r="J95" s="9" t="n"/>
      <c r="K95" s="13">
        <f>IF(OR(E95="",F95=""),"",ROUND((MOD(F95-E95,1)-N(G95))*24,2))</f>
        <v/>
      </c>
      <c r="L95" s="13">
        <f>IF(OR(H95="",I95=""),"",I95-H95)</f>
        <v/>
      </c>
      <c r="M95" s="13">
        <f>IF(B95="","",IF(J95="Parado - cliente",IFERROR(INDEX(Equipamentos!$D$5:$D$10,MATCH(B95,Equipamentos!$A$5:$A$10,0)),0),IF(OR(J95="Parado - manutenção",J95="Sem serviço"),0,MAX(N(K95),IFERROR(INDEX(Equipamentos!$D$5:$D$10,MATCH(B95,Equipamentos!$A$5:$A$10,0)),0)))))</f>
        <v/>
      </c>
      <c r="N95" s="14">
        <f>IF(B95="","",IFERROR(INDEX(Equipamentos!$C$5:$C$10,MATCH(B95,Equipamentos!$A$5:$A$10,0)),0))</f>
        <v/>
      </c>
      <c r="O95" s="14">
        <f>IF(B95="","",M95*N95)</f>
        <v/>
      </c>
      <c r="P95" s="9" t="n"/>
    </row>
    <row r="96">
      <c r="A96" s="15" t="n"/>
      <c r="B96" s="9" t="n"/>
      <c r="C96" s="9" t="n"/>
      <c r="D96" s="9" t="n"/>
      <c r="E96" s="16" t="n"/>
      <c r="F96" s="16" t="n"/>
      <c r="G96" s="16" t="n"/>
      <c r="H96" s="17" t="n"/>
      <c r="I96" s="17" t="n"/>
      <c r="J96" s="9" t="n"/>
      <c r="K96" s="13">
        <f>IF(OR(E96="",F96=""),"",ROUND((MOD(F96-E96,1)-N(G96))*24,2))</f>
        <v/>
      </c>
      <c r="L96" s="13">
        <f>IF(OR(H96="",I96=""),"",I96-H96)</f>
        <v/>
      </c>
      <c r="M96" s="13">
        <f>IF(B96="","",IF(J96="Parado - cliente",IFERROR(INDEX(Equipamentos!$D$5:$D$10,MATCH(B96,Equipamentos!$A$5:$A$10,0)),0),IF(OR(J96="Parado - manutenção",J96="Sem serviço"),0,MAX(N(K96),IFERROR(INDEX(Equipamentos!$D$5:$D$10,MATCH(B96,Equipamentos!$A$5:$A$10,0)),0)))))</f>
        <v/>
      </c>
      <c r="N96" s="14">
        <f>IF(B96="","",IFERROR(INDEX(Equipamentos!$C$5:$C$10,MATCH(B96,Equipamentos!$A$5:$A$10,0)),0))</f>
        <v/>
      </c>
      <c r="O96" s="14">
        <f>IF(B96="","",M96*N96)</f>
        <v/>
      </c>
      <c r="P96" s="9" t="n"/>
    </row>
    <row r="97">
      <c r="A97" s="15" t="n"/>
      <c r="B97" s="9" t="n"/>
      <c r="C97" s="9" t="n"/>
      <c r="D97" s="9" t="n"/>
      <c r="E97" s="16" t="n"/>
      <c r="F97" s="16" t="n"/>
      <c r="G97" s="16" t="n"/>
      <c r="H97" s="17" t="n"/>
      <c r="I97" s="17" t="n"/>
      <c r="J97" s="9" t="n"/>
      <c r="K97" s="13">
        <f>IF(OR(E97="",F97=""),"",ROUND((MOD(F97-E97,1)-N(G97))*24,2))</f>
        <v/>
      </c>
      <c r="L97" s="13">
        <f>IF(OR(H97="",I97=""),"",I97-H97)</f>
        <v/>
      </c>
      <c r="M97" s="13">
        <f>IF(B97="","",IF(J97="Parado - cliente",IFERROR(INDEX(Equipamentos!$D$5:$D$10,MATCH(B97,Equipamentos!$A$5:$A$10,0)),0),IF(OR(J97="Parado - manutenção",J97="Sem serviço"),0,MAX(N(K97),IFERROR(INDEX(Equipamentos!$D$5:$D$10,MATCH(B97,Equipamentos!$A$5:$A$10,0)),0)))))</f>
        <v/>
      </c>
      <c r="N97" s="14">
        <f>IF(B97="","",IFERROR(INDEX(Equipamentos!$C$5:$C$10,MATCH(B97,Equipamentos!$A$5:$A$10,0)),0))</f>
        <v/>
      </c>
      <c r="O97" s="14">
        <f>IF(B97="","",M97*N97)</f>
        <v/>
      </c>
      <c r="P97" s="9" t="n"/>
    </row>
    <row r="98">
      <c r="A98" s="15" t="n"/>
      <c r="B98" s="9" t="n"/>
      <c r="C98" s="9" t="n"/>
      <c r="D98" s="9" t="n"/>
      <c r="E98" s="16" t="n"/>
      <c r="F98" s="16" t="n"/>
      <c r="G98" s="16" t="n"/>
      <c r="H98" s="17" t="n"/>
      <c r="I98" s="17" t="n"/>
      <c r="J98" s="9" t="n"/>
      <c r="K98" s="13">
        <f>IF(OR(E98="",F98=""),"",ROUND((MOD(F98-E98,1)-N(G98))*24,2))</f>
        <v/>
      </c>
      <c r="L98" s="13">
        <f>IF(OR(H98="",I98=""),"",I98-H98)</f>
        <v/>
      </c>
      <c r="M98" s="13">
        <f>IF(B98="","",IF(J98="Parado - cliente",IFERROR(INDEX(Equipamentos!$D$5:$D$10,MATCH(B98,Equipamentos!$A$5:$A$10,0)),0),IF(OR(J98="Parado - manutenção",J98="Sem serviço"),0,MAX(N(K98),IFERROR(INDEX(Equipamentos!$D$5:$D$10,MATCH(B98,Equipamentos!$A$5:$A$10,0)),0)))))</f>
        <v/>
      </c>
      <c r="N98" s="14">
        <f>IF(B98="","",IFERROR(INDEX(Equipamentos!$C$5:$C$10,MATCH(B98,Equipamentos!$A$5:$A$10,0)),0))</f>
        <v/>
      </c>
      <c r="O98" s="14">
        <f>IF(B98="","",M98*N98)</f>
        <v/>
      </c>
      <c r="P98" s="9" t="n"/>
    </row>
    <row r="99">
      <c r="A99" s="15" t="n"/>
      <c r="B99" s="9" t="n"/>
      <c r="C99" s="9" t="n"/>
      <c r="D99" s="9" t="n"/>
      <c r="E99" s="16" t="n"/>
      <c r="F99" s="16" t="n"/>
      <c r="G99" s="16" t="n"/>
      <c r="H99" s="17" t="n"/>
      <c r="I99" s="17" t="n"/>
      <c r="J99" s="9" t="n"/>
      <c r="K99" s="13">
        <f>IF(OR(E99="",F99=""),"",ROUND((MOD(F99-E99,1)-N(G99))*24,2))</f>
        <v/>
      </c>
      <c r="L99" s="13">
        <f>IF(OR(H99="",I99=""),"",I99-H99)</f>
        <v/>
      </c>
      <c r="M99" s="13">
        <f>IF(B99="","",IF(J99="Parado - cliente",IFERROR(INDEX(Equipamentos!$D$5:$D$10,MATCH(B99,Equipamentos!$A$5:$A$10,0)),0),IF(OR(J99="Parado - manutenção",J99="Sem serviço"),0,MAX(N(K99),IFERROR(INDEX(Equipamentos!$D$5:$D$10,MATCH(B99,Equipamentos!$A$5:$A$10,0)),0)))))</f>
        <v/>
      </c>
      <c r="N99" s="14">
        <f>IF(B99="","",IFERROR(INDEX(Equipamentos!$C$5:$C$10,MATCH(B99,Equipamentos!$A$5:$A$10,0)),0))</f>
        <v/>
      </c>
      <c r="O99" s="14">
        <f>IF(B99="","",M99*N99)</f>
        <v/>
      </c>
      <c r="P99" s="9" t="n"/>
    </row>
    <row r="100">
      <c r="A100" s="15" t="n"/>
      <c r="B100" s="9" t="n"/>
      <c r="C100" s="9" t="n"/>
      <c r="D100" s="9" t="n"/>
      <c r="E100" s="16" t="n"/>
      <c r="F100" s="16" t="n"/>
      <c r="G100" s="16" t="n"/>
      <c r="H100" s="17" t="n"/>
      <c r="I100" s="17" t="n"/>
      <c r="J100" s="9" t="n"/>
      <c r="K100" s="13">
        <f>IF(OR(E100="",F100=""),"",ROUND((MOD(F100-E100,1)-N(G100))*24,2))</f>
        <v/>
      </c>
      <c r="L100" s="13">
        <f>IF(OR(H100="",I100=""),"",I100-H100)</f>
        <v/>
      </c>
      <c r="M100" s="13">
        <f>IF(B100="","",IF(J100="Parado - cliente",IFERROR(INDEX(Equipamentos!$D$5:$D$10,MATCH(B100,Equipamentos!$A$5:$A$10,0)),0),IF(OR(J100="Parado - manutenção",J100="Sem serviço"),0,MAX(N(K100),IFERROR(INDEX(Equipamentos!$D$5:$D$10,MATCH(B100,Equipamentos!$A$5:$A$10,0)),0)))))</f>
        <v/>
      </c>
      <c r="N100" s="14">
        <f>IF(B100="","",IFERROR(INDEX(Equipamentos!$C$5:$C$10,MATCH(B100,Equipamentos!$A$5:$A$10,0)),0))</f>
        <v/>
      </c>
      <c r="O100" s="14">
        <f>IF(B100="","",M100*N100)</f>
        <v/>
      </c>
      <c r="P100" s="9" t="n"/>
    </row>
    <row r="101">
      <c r="A101" s="15" t="n"/>
      <c r="B101" s="9" t="n"/>
      <c r="C101" s="9" t="n"/>
      <c r="D101" s="9" t="n"/>
      <c r="E101" s="16" t="n"/>
      <c r="F101" s="16" t="n"/>
      <c r="G101" s="16" t="n"/>
      <c r="H101" s="17" t="n"/>
      <c r="I101" s="17" t="n"/>
      <c r="J101" s="9" t="n"/>
      <c r="K101" s="13">
        <f>IF(OR(E101="",F101=""),"",ROUND((MOD(F101-E101,1)-N(G101))*24,2))</f>
        <v/>
      </c>
      <c r="L101" s="13">
        <f>IF(OR(H101="",I101=""),"",I101-H101)</f>
        <v/>
      </c>
      <c r="M101" s="13">
        <f>IF(B101="","",IF(J101="Parado - cliente",IFERROR(INDEX(Equipamentos!$D$5:$D$10,MATCH(B101,Equipamentos!$A$5:$A$10,0)),0),IF(OR(J101="Parado - manutenção",J101="Sem serviço"),0,MAX(N(K101),IFERROR(INDEX(Equipamentos!$D$5:$D$10,MATCH(B101,Equipamentos!$A$5:$A$10,0)),0)))))</f>
        <v/>
      </c>
      <c r="N101" s="14">
        <f>IF(B101="","",IFERROR(INDEX(Equipamentos!$C$5:$C$10,MATCH(B101,Equipamentos!$A$5:$A$10,0)),0))</f>
        <v/>
      </c>
      <c r="O101" s="14">
        <f>IF(B101="","",M101*N101)</f>
        <v/>
      </c>
      <c r="P101" s="9" t="n"/>
    </row>
    <row r="102">
      <c r="A102" s="15" t="n"/>
      <c r="B102" s="9" t="n"/>
      <c r="C102" s="9" t="n"/>
      <c r="D102" s="9" t="n"/>
      <c r="E102" s="16" t="n"/>
      <c r="F102" s="16" t="n"/>
      <c r="G102" s="16" t="n"/>
      <c r="H102" s="17" t="n"/>
      <c r="I102" s="17" t="n"/>
      <c r="J102" s="9" t="n"/>
      <c r="K102" s="13">
        <f>IF(OR(E102="",F102=""),"",ROUND((MOD(F102-E102,1)-N(G102))*24,2))</f>
        <v/>
      </c>
      <c r="L102" s="13">
        <f>IF(OR(H102="",I102=""),"",I102-H102)</f>
        <v/>
      </c>
      <c r="M102" s="13">
        <f>IF(B102="","",IF(J102="Parado - cliente",IFERROR(INDEX(Equipamentos!$D$5:$D$10,MATCH(B102,Equipamentos!$A$5:$A$10,0)),0),IF(OR(J102="Parado - manutenção",J102="Sem serviço"),0,MAX(N(K102),IFERROR(INDEX(Equipamentos!$D$5:$D$10,MATCH(B102,Equipamentos!$A$5:$A$10,0)),0)))))</f>
        <v/>
      </c>
      <c r="N102" s="14">
        <f>IF(B102="","",IFERROR(INDEX(Equipamentos!$C$5:$C$10,MATCH(B102,Equipamentos!$A$5:$A$10,0)),0))</f>
        <v/>
      </c>
      <c r="O102" s="14">
        <f>IF(B102="","",M102*N102)</f>
        <v/>
      </c>
      <c r="P102" s="9" t="n"/>
    </row>
    <row r="103">
      <c r="A103" s="15" t="n"/>
      <c r="B103" s="9" t="n"/>
      <c r="C103" s="9" t="n"/>
      <c r="D103" s="9" t="n"/>
      <c r="E103" s="16" t="n"/>
      <c r="F103" s="16" t="n"/>
      <c r="G103" s="16" t="n"/>
      <c r="H103" s="17" t="n"/>
      <c r="I103" s="17" t="n"/>
      <c r="J103" s="9" t="n"/>
      <c r="K103" s="13">
        <f>IF(OR(E103="",F103=""),"",ROUND((MOD(F103-E103,1)-N(G103))*24,2))</f>
        <v/>
      </c>
      <c r="L103" s="13">
        <f>IF(OR(H103="",I103=""),"",I103-H103)</f>
        <v/>
      </c>
      <c r="M103" s="13">
        <f>IF(B103="","",IF(J103="Parado - cliente",IFERROR(INDEX(Equipamentos!$D$5:$D$10,MATCH(B103,Equipamentos!$A$5:$A$10,0)),0),IF(OR(J103="Parado - manutenção",J103="Sem serviço"),0,MAX(N(K103),IFERROR(INDEX(Equipamentos!$D$5:$D$10,MATCH(B103,Equipamentos!$A$5:$A$10,0)),0)))))</f>
        <v/>
      </c>
      <c r="N103" s="14">
        <f>IF(B103="","",IFERROR(INDEX(Equipamentos!$C$5:$C$10,MATCH(B103,Equipamentos!$A$5:$A$10,0)),0))</f>
        <v/>
      </c>
      <c r="O103" s="14">
        <f>IF(B103="","",M103*N103)</f>
        <v/>
      </c>
      <c r="P103" s="9" t="n"/>
    </row>
    <row r="104">
      <c r="A104" s="15" t="n"/>
      <c r="B104" s="9" t="n"/>
      <c r="C104" s="9" t="n"/>
      <c r="D104" s="9" t="n"/>
      <c r="E104" s="16" t="n"/>
      <c r="F104" s="16" t="n"/>
      <c r="G104" s="16" t="n"/>
      <c r="H104" s="17" t="n"/>
      <c r="I104" s="17" t="n"/>
      <c r="J104" s="9" t="n"/>
      <c r="K104" s="13">
        <f>IF(OR(E104="",F104=""),"",ROUND((MOD(F104-E104,1)-N(G104))*24,2))</f>
        <v/>
      </c>
      <c r="L104" s="13">
        <f>IF(OR(H104="",I104=""),"",I104-H104)</f>
        <v/>
      </c>
      <c r="M104" s="13">
        <f>IF(B104="","",IF(J104="Parado - cliente",IFERROR(INDEX(Equipamentos!$D$5:$D$10,MATCH(B104,Equipamentos!$A$5:$A$10,0)),0),IF(OR(J104="Parado - manutenção",J104="Sem serviço"),0,MAX(N(K104),IFERROR(INDEX(Equipamentos!$D$5:$D$10,MATCH(B104,Equipamentos!$A$5:$A$10,0)),0)))))</f>
        <v/>
      </c>
      <c r="N104" s="14">
        <f>IF(B104="","",IFERROR(INDEX(Equipamentos!$C$5:$C$10,MATCH(B104,Equipamentos!$A$5:$A$10,0)),0))</f>
        <v/>
      </c>
      <c r="O104" s="14">
        <f>IF(B104="","",M104*N104)</f>
        <v/>
      </c>
      <c r="P104" s="9" t="n"/>
    </row>
    <row r="105">
      <c r="A105" s="15" t="n"/>
      <c r="B105" s="9" t="n"/>
      <c r="C105" s="9" t="n"/>
      <c r="D105" s="9" t="n"/>
      <c r="E105" s="16" t="n"/>
      <c r="F105" s="16" t="n"/>
      <c r="G105" s="16" t="n"/>
      <c r="H105" s="17" t="n"/>
      <c r="I105" s="17" t="n"/>
      <c r="J105" s="9" t="n"/>
      <c r="K105" s="13">
        <f>IF(OR(E105="",F105=""),"",ROUND((MOD(F105-E105,1)-N(G105))*24,2))</f>
        <v/>
      </c>
      <c r="L105" s="13">
        <f>IF(OR(H105="",I105=""),"",I105-H105)</f>
        <v/>
      </c>
      <c r="M105" s="13">
        <f>IF(B105="","",IF(J105="Parado - cliente",IFERROR(INDEX(Equipamentos!$D$5:$D$10,MATCH(B105,Equipamentos!$A$5:$A$10,0)),0),IF(OR(J105="Parado - manutenção",J105="Sem serviço"),0,MAX(N(K105),IFERROR(INDEX(Equipamentos!$D$5:$D$10,MATCH(B105,Equipamentos!$A$5:$A$10,0)),0)))))</f>
        <v/>
      </c>
      <c r="N105" s="14">
        <f>IF(B105="","",IFERROR(INDEX(Equipamentos!$C$5:$C$10,MATCH(B105,Equipamentos!$A$5:$A$10,0)),0))</f>
        <v/>
      </c>
      <c r="O105" s="14">
        <f>IF(B105="","",M105*N105)</f>
        <v/>
      </c>
      <c r="P105" s="9" t="n"/>
    </row>
    <row r="106">
      <c r="A106" s="15" t="n"/>
      <c r="B106" s="9" t="n"/>
      <c r="C106" s="9" t="n"/>
      <c r="D106" s="9" t="n"/>
      <c r="E106" s="16" t="n"/>
      <c r="F106" s="16" t="n"/>
      <c r="G106" s="16" t="n"/>
      <c r="H106" s="17" t="n"/>
      <c r="I106" s="17" t="n"/>
      <c r="J106" s="9" t="n"/>
      <c r="K106" s="13">
        <f>IF(OR(E106="",F106=""),"",ROUND((MOD(F106-E106,1)-N(G106))*24,2))</f>
        <v/>
      </c>
      <c r="L106" s="13">
        <f>IF(OR(H106="",I106=""),"",I106-H106)</f>
        <v/>
      </c>
      <c r="M106" s="13">
        <f>IF(B106="","",IF(J106="Parado - cliente",IFERROR(INDEX(Equipamentos!$D$5:$D$10,MATCH(B106,Equipamentos!$A$5:$A$10,0)),0),IF(OR(J106="Parado - manutenção",J106="Sem serviço"),0,MAX(N(K106),IFERROR(INDEX(Equipamentos!$D$5:$D$10,MATCH(B106,Equipamentos!$A$5:$A$10,0)),0)))))</f>
        <v/>
      </c>
      <c r="N106" s="14">
        <f>IF(B106="","",IFERROR(INDEX(Equipamentos!$C$5:$C$10,MATCH(B106,Equipamentos!$A$5:$A$10,0)),0))</f>
        <v/>
      </c>
      <c r="O106" s="14">
        <f>IF(B106="","",M106*N106)</f>
        <v/>
      </c>
      <c r="P106" s="9" t="n"/>
    </row>
    <row r="107">
      <c r="A107" s="15" t="n"/>
      <c r="B107" s="9" t="n"/>
      <c r="C107" s="9" t="n"/>
      <c r="D107" s="9" t="n"/>
      <c r="E107" s="16" t="n"/>
      <c r="F107" s="16" t="n"/>
      <c r="G107" s="16" t="n"/>
      <c r="H107" s="17" t="n"/>
      <c r="I107" s="17" t="n"/>
      <c r="J107" s="9" t="n"/>
      <c r="K107" s="13">
        <f>IF(OR(E107="",F107=""),"",ROUND((MOD(F107-E107,1)-N(G107))*24,2))</f>
        <v/>
      </c>
      <c r="L107" s="13">
        <f>IF(OR(H107="",I107=""),"",I107-H107)</f>
        <v/>
      </c>
      <c r="M107" s="13">
        <f>IF(B107="","",IF(J107="Parado - cliente",IFERROR(INDEX(Equipamentos!$D$5:$D$10,MATCH(B107,Equipamentos!$A$5:$A$10,0)),0),IF(OR(J107="Parado - manutenção",J107="Sem serviço"),0,MAX(N(K107),IFERROR(INDEX(Equipamentos!$D$5:$D$10,MATCH(B107,Equipamentos!$A$5:$A$10,0)),0)))))</f>
        <v/>
      </c>
      <c r="N107" s="14">
        <f>IF(B107="","",IFERROR(INDEX(Equipamentos!$C$5:$C$10,MATCH(B107,Equipamentos!$A$5:$A$10,0)),0))</f>
        <v/>
      </c>
      <c r="O107" s="14">
        <f>IF(B107="","",M107*N107)</f>
        <v/>
      </c>
      <c r="P107" s="9" t="n"/>
    </row>
    <row r="108">
      <c r="A108" s="15" t="n"/>
      <c r="B108" s="9" t="n"/>
      <c r="C108" s="9" t="n"/>
      <c r="D108" s="9" t="n"/>
      <c r="E108" s="16" t="n"/>
      <c r="F108" s="16" t="n"/>
      <c r="G108" s="16" t="n"/>
      <c r="H108" s="17" t="n"/>
      <c r="I108" s="17" t="n"/>
      <c r="J108" s="9" t="n"/>
      <c r="K108" s="13">
        <f>IF(OR(E108="",F108=""),"",ROUND((MOD(F108-E108,1)-N(G108))*24,2))</f>
        <v/>
      </c>
      <c r="L108" s="13">
        <f>IF(OR(H108="",I108=""),"",I108-H108)</f>
        <v/>
      </c>
      <c r="M108" s="13">
        <f>IF(B108="","",IF(J108="Parado - cliente",IFERROR(INDEX(Equipamentos!$D$5:$D$10,MATCH(B108,Equipamentos!$A$5:$A$10,0)),0),IF(OR(J108="Parado - manutenção",J108="Sem serviço"),0,MAX(N(K108),IFERROR(INDEX(Equipamentos!$D$5:$D$10,MATCH(B108,Equipamentos!$A$5:$A$10,0)),0)))))</f>
        <v/>
      </c>
      <c r="N108" s="14">
        <f>IF(B108="","",IFERROR(INDEX(Equipamentos!$C$5:$C$10,MATCH(B108,Equipamentos!$A$5:$A$10,0)),0))</f>
        <v/>
      </c>
      <c r="O108" s="14">
        <f>IF(B108="","",M108*N108)</f>
        <v/>
      </c>
      <c r="P108" s="9" t="n"/>
    </row>
    <row r="109">
      <c r="A109" s="15" t="n"/>
      <c r="B109" s="9" t="n"/>
      <c r="C109" s="9" t="n"/>
      <c r="D109" s="9" t="n"/>
      <c r="E109" s="16" t="n"/>
      <c r="F109" s="16" t="n"/>
      <c r="G109" s="16" t="n"/>
      <c r="H109" s="17" t="n"/>
      <c r="I109" s="17" t="n"/>
      <c r="J109" s="9" t="n"/>
      <c r="K109" s="13">
        <f>IF(OR(E109="",F109=""),"",ROUND((MOD(F109-E109,1)-N(G109))*24,2))</f>
        <v/>
      </c>
      <c r="L109" s="13">
        <f>IF(OR(H109="",I109=""),"",I109-H109)</f>
        <v/>
      </c>
      <c r="M109" s="13">
        <f>IF(B109="","",IF(J109="Parado - cliente",IFERROR(INDEX(Equipamentos!$D$5:$D$10,MATCH(B109,Equipamentos!$A$5:$A$10,0)),0),IF(OR(J109="Parado - manutenção",J109="Sem serviço"),0,MAX(N(K109),IFERROR(INDEX(Equipamentos!$D$5:$D$10,MATCH(B109,Equipamentos!$A$5:$A$10,0)),0)))))</f>
        <v/>
      </c>
      <c r="N109" s="14">
        <f>IF(B109="","",IFERROR(INDEX(Equipamentos!$C$5:$C$10,MATCH(B109,Equipamentos!$A$5:$A$10,0)),0))</f>
        <v/>
      </c>
      <c r="O109" s="14">
        <f>IF(B109="","",M109*N109)</f>
        <v/>
      </c>
      <c r="P109" s="9" t="n"/>
    </row>
    <row r="110">
      <c r="A110" s="15" t="n"/>
      <c r="B110" s="9" t="n"/>
      <c r="C110" s="9" t="n"/>
      <c r="D110" s="9" t="n"/>
      <c r="E110" s="16" t="n"/>
      <c r="F110" s="16" t="n"/>
      <c r="G110" s="16" t="n"/>
      <c r="H110" s="17" t="n"/>
      <c r="I110" s="17" t="n"/>
      <c r="J110" s="9" t="n"/>
      <c r="K110" s="13">
        <f>IF(OR(E110="",F110=""),"",ROUND((MOD(F110-E110,1)-N(G110))*24,2))</f>
        <v/>
      </c>
      <c r="L110" s="13">
        <f>IF(OR(H110="",I110=""),"",I110-H110)</f>
        <v/>
      </c>
      <c r="M110" s="13">
        <f>IF(B110="","",IF(J110="Parado - cliente",IFERROR(INDEX(Equipamentos!$D$5:$D$10,MATCH(B110,Equipamentos!$A$5:$A$10,0)),0),IF(OR(J110="Parado - manutenção",J110="Sem serviço"),0,MAX(N(K110),IFERROR(INDEX(Equipamentos!$D$5:$D$10,MATCH(B110,Equipamentos!$A$5:$A$10,0)),0)))))</f>
        <v/>
      </c>
      <c r="N110" s="14">
        <f>IF(B110="","",IFERROR(INDEX(Equipamentos!$C$5:$C$10,MATCH(B110,Equipamentos!$A$5:$A$10,0)),0))</f>
        <v/>
      </c>
      <c r="O110" s="14">
        <f>IF(B110="","",M110*N110)</f>
        <v/>
      </c>
      <c r="P110" s="9" t="n"/>
    </row>
    <row r="111">
      <c r="A111" s="15" t="n"/>
      <c r="B111" s="9" t="n"/>
      <c r="C111" s="9" t="n"/>
      <c r="D111" s="9" t="n"/>
      <c r="E111" s="16" t="n"/>
      <c r="F111" s="16" t="n"/>
      <c r="G111" s="16" t="n"/>
      <c r="H111" s="17" t="n"/>
      <c r="I111" s="17" t="n"/>
      <c r="J111" s="9" t="n"/>
      <c r="K111" s="13">
        <f>IF(OR(E111="",F111=""),"",ROUND((MOD(F111-E111,1)-N(G111))*24,2))</f>
        <v/>
      </c>
      <c r="L111" s="13">
        <f>IF(OR(H111="",I111=""),"",I111-H111)</f>
        <v/>
      </c>
      <c r="M111" s="13">
        <f>IF(B111="","",IF(J111="Parado - cliente",IFERROR(INDEX(Equipamentos!$D$5:$D$10,MATCH(B111,Equipamentos!$A$5:$A$10,0)),0),IF(OR(J111="Parado - manutenção",J111="Sem serviço"),0,MAX(N(K111),IFERROR(INDEX(Equipamentos!$D$5:$D$10,MATCH(B111,Equipamentos!$A$5:$A$10,0)),0)))))</f>
        <v/>
      </c>
      <c r="N111" s="14">
        <f>IF(B111="","",IFERROR(INDEX(Equipamentos!$C$5:$C$10,MATCH(B111,Equipamentos!$A$5:$A$10,0)),0))</f>
        <v/>
      </c>
      <c r="O111" s="14">
        <f>IF(B111="","",M111*N111)</f>
        <v/>
      </c>
      <c r="P111" s="9" t="n"/>
    </row>
    <row r="112">
      <c r="A112" s="15" t="n"/>
      <c r="B112" s="9" t="n"/>
      <c r="C112" s="9" t="n"/>
      <c r="D112" s="9" t="n"/>
      <c r="E112" s="16" t="n"/>
      <c r="F112" s="16" t="n"/>
      <c r="G112" s="16" t="n"/>
      <c r="H112" s="17" t="n"/>
      <c r="I112" s="17" t="n"/>
      <c r="J112" s="9" t="n"/>
      <c r="K112" s="13">
        <f>IF(OR(E112="",F112=""),"",ROUND((MOD(F112-E112,1)-N(G112))*24,2))</f>
        <v/>
      </c>
      <c r="L112" s="13">
        <f>IF(OR(H112="",I112=""),"",I112-H112)</f>
        <v/>
      </c>
      <c r="M112" s="13">
        <f>IF(B112="","",IF(J112="Parado - cliente",IFERROR(INDEX(Equipamentos!$D$5:$D$10,MATCH(B112,Equipamentos!$A$5:$A$10,0)),0),IF(OR(J112="Parado - manutenção",J112="Sem serviço"),0,MAX(N(K112),IFERROR(INDEX(Equipamentos!$D$5:$D$10,MATCH(B112,Equipamentos!$A$5:$A$10,0)),0)))))</f>
        <v/>
      </c>
      <c r="N112" s="14">
        <f>IF(B112="","",IFERROR(INDEX(Equipamentos!$C$5:$C$10,MATCH(B112,Equipamentos!$A$5:$A$10,0)),0))</f>
        <v/>
      </c>
      <c r="O112" s="14">
        <f>IF(B112="","",M112*N112)</f>
        <v/>
      </c>
      <c r="P112" s="9" t="n"/>
    </row>
    <row r="113">
      <c r="A113" s="15" t="n"/>
      <c r="B113" s="9" t="n"/>
      <c r="C113" s="9" t="n"/>
      <c r="D113" s="9" t="n"/>
      <c r="E113" s="16" t="n"/>
      <c r="F113" s="16" t="n"/>
      <c r="G113" s="16" t="n"/>
      <c r="H113" s="17" t="n"/>
      <c r="I113" s="17" t="n"/>
      <c r="J113" s="9" t="n"/>
      <c r="K113" s="13">
        <f>IF(OR(E113="",F113=""),"",ROUND((MOD(F113-E113,1)-N(G113))*24,2))</f>
        <v/>
      </c>
      <c r="L113" s="13">
        <f>IF(OR(H113="",I113=""),"",I113-H113)</f>
        <v/>
      </c>
      <c r="M113" s="13">
        <f>IF(B113="","",IF(J113="Parado - cliente",IFERROR(INDEX(Equipamentos!$D$5:$D$10,MATCH(B113,Equipamentos!$A$5:$A$10,0)),0),IF(OR(J113="Parado - manutenção",J113="Sem serviço"),0,MAX(N(K113),IFERROR(INDEX(Equipamentos!$D$5:$D$10,MATCH(B113,Equipamentos!$A$5:$A$10,0)),0)))))</f>
        <v/>
      </c>
      <c r="N113" s="14">
        <f>IF(B113="","",IFERROR(INDEX(Equipamentos!$C$5:$C$10,MATCH(B113,Equipamentos!$A$5:$A$10,0)),0))</f>
        <v/>
      </c>
      <c r="O113" s="14">
        <f>IF(B113="","",M113*N113)</f>
        <v/>
      </c>
      <c r="P113" s="9" t="n"/>
    </row>
    <row r="114">
      <c r="A114" s="15" t="n"/>
      <c r="B114" s="9" t="n"/>
      <c r="C114" s="9" t="n"/>
      <c r="D114" s="9" t="n"/>
      <c r="E114" s="16" t="n"/>
      <c r="F114" s="16" t="n"/>
      <c r="G114" s="16" t="n"/>
      <c r="H114" s="17" t="n"/>
      <c r="I114" s="17" t="n"/>
      <c r="J114" s="9" t="n"/>
      <c r="K114" s="13">
        <f>IF(OR(E114="",F114=""),"",ROUND((MOD(F114-E114,1)-N(G114))*24,2))</f>
        <v/>
      </c>
      <c r="L114" s="13">
        <f>IF(OR(H114="",I114=""),"",I114-H114)</f>
        <v/>
      </c>
      <c r="M114" s="13">
        <f>IF(B114="","",IF(J114="Parado - cliente",IFERROR(INDEX(Equipamentos!$D$5:$D$10,MATCH(B114,Equipamentos!$A$5:$A$10,0)),0),IF(OR(J114="Parado - manutenção",J114="Sem serviço"),0,MAX(N(K114),IFERROR(INDEX(Equipamentos!$D$5:$D$10,MATCH(B114,Equipamentos!$A$5:$A$10,0)),0)))))</f>
        <v/>
      </c>
      <c r="N114" s="14">
        <f>IF(B114="","",IFERROR(INDEX(Equipamentos!$C$5:$C$10,MATCH(B114,Equipamentos!$A$5:$A$10,0)),0))</f>
        <v/>
      </c>
      <c r="O114" s="14">
        <f>IF(B114="","",M114*N114)</f>
        <v/>
      </c>
      <c r="P114" s="9" t="n"/>
    </row>
    <row r="115">
      <c r="A115" s="15" t="n"/>
      <c r="B115" s="9" t="n"/>
      <c r="C115" s="9" t="n"/>
      <c r="D115" s="9" t="n"/>
      <c r="E115" s="16" t="n"/>
      <c r="F115" s="16" t="n"/>
      <c r="G115" s="16" t="n"/>
      <c r="H115" s="17" t="n"/>
      <c r="I115" s="17" t="n"/>
      <c r="J115" s="9" t="n"/>
      <c r="K115" s="13">
        <f>IF(OR(E115="",F115=""),"",ROUND((MOD(F115-E115,1)-N(G115))*24,2))</f>
        <v/>
      </c>
      <c r="L115" s="13">
        <f>IF(OR(H115="",I115=""),"",I115-H115)</f>
        <v/>
      </c>
      <c r="M115" s="13">
        <f>IF(B115="","",IF(J115="Parado - cliente",IFERROR(INDEX(Equipamentos!$D$5:$D$10,MATCH(B115,Equipamentos!$A$5:$A$10,0)),0),IF(OR(J115="Parado - manutenção",J115="Sem serviço"),0,MAX(N(K115),IFERROR(INDEX(Equipamentos!$D$5:$D$10,MATCH(B115,Equipamentos!$A$5:$A$10,0)),0)))))</f>
        <v/>
      </c>
      <c r="N115" s="14">
        <f>IF(B115="","",IFERROR(INDEX(Equipamentos!$C$5:$C$10,MATCH(B115,Equipamentos!$A$5:$A$10,0)),0))</f>
        <v/>
      </c>
      <c r="O115" s="14">
        <f>IF(B115="","",M115*N115)</f>
        <v/>
      </c>
      <c r="P115" s="9" t="n"/>
    </row>
    <row r="116">
      <c r="A116" s="15" t="n"/>
      <c r="B116" s="9" t="n"/>
      <c r="C116" s="9" t="n"/>
      <c r="D116" s="9" t="n"/>
      <c r="E116" s="16" t="n"/>
      <c r="F116" s="16" t="n"/>
      <c r="G116" s="16" t="n"/>
      <c r="H116" s="17" t="n"/>
      <c r="I116" s="17" t="n"/>
      <c r="J116" s="9" t="n"/>
      <c r="K116" s="13">
        <f>IF(OR(E116="",F116=""),"",ROUND((MOD(F116-E116,1)-N(G116))*24,2))</f>
        <v/>
      </c>
      <c r="L116" s="13">
        <f>IF(OR(H116="",I116=""),"",I116-H116)</f>
        <v/>
      </c>
      <c r="M116" s="13">
        <f>IF(B116="","",IF(J116="Parado - cliente",IFERROR(INDEX(Equipamentos!$D$5:$D$10,MATCH(B116,Equipamentos!$A$5:$A$10,0)),0),IF(OR(J116="Parado - manutenção",J116="Sem serviço"),0,MAX(N(K116),IFERROR(INDEX(Equipamentos!$D$5:$D$10,MATCH(B116,Equipamentos!$A$5:$A$10,0)),0)))))</f>
        <v/>
      </c>
      <c r="N116" s="14">
        <f>IF(B116="","",IFERROR(INDEX(Equipamentos!$C$5:$C$10,MATCH(B116,Equipamentos!$A$5:$A$10,0)),0))</f>
        <v/>
      </c>
      <c r="O116" s="14">
        <f>IF(B116="","",M116*N116)</f>
        <v/>
      </c>
      <c r="P116" s="9" t="n"/>
    </row>
    <row r="117">
      <c r="A117" s="15" t="n"/>
      <c r="B117" s="9" t="n"/>
      <c r="C117" s="9" t="n"/>
      <c r="D117" s="9" t="n"/>
      <c r="E117" s="16" t="n"/>
      <c r="F117" s="16" t="n"/>
      <c r="G117" s="16" t="n"/>
      <c r="H117" s="17" t="n"/>
      <c r="I117" s="17" t="n"/>
      <c r="J117" s="9" t="n"/>
      <c r="K117" s="13">
        <f>IF(OR(E117="",F117=""),"",ROUND((MOD(F117-E117,1)-N(G117))*24,2))</f>
        <v/>
      </c>
      <c r="L117" s="13">
        <f>IF(OR(H117="",I117=""),"",I117-H117)</f>
        <v/>
      </c>
      <c r="M117" s="13">
        <f>IF(B117="","",IF(J117="Parado - cliente",IFERROR(INDEX(Equipamentos!$D$5:$D$10,MATCH(B117,Equipamentos!$A$5:$A$10,0)),0),IF(OR(J117="Parado - manutenção",J117="Sem serviço"),0,MAX(N(K117),IFERROR(INDEX(Equipamentos!$D$5:$D$10,MATCH(B117,Equipamentos!$A$5:$A$10,0)),0)))))</f>
        <v/>
      </c>
      <c r="N117" s="14">
        <f>IF(B117="","",IFERROR(INDEX(Equipamentos!$C$5:$C$10,MATCH(B117,Equipamentos!$A$5:$A$10,0)),0))</f>
        <v/>
      </c>
      <c r="O117" s="14">
        <f>IF(B117="","",M117*N117)</f>
        <v/>
      </c>
      <c r="P117" s="9" t="n"/>
    </row>
    <row r="118">
      <c r="A118" s="15" t="n"/>
      <c r="B118" s="9" t="n"/>
      <c r="C118" s="9" t="n"/>
      <c r="D118" s="9" t="n"/>
      <c r="E118" s="16" t="n"/>
      <c r="F118" s="16" t="n"/>
      <c r="G118" s="16" t="n"/>
      <c r="H118" s="17" t="n"/>
      <c r="I118" s="17" t="n"/>
      <c r="J118" s="9" t="n"/>
      <c r="K118" s="13">
        <f>IF(OR(E118="",F118=""),"",ROUND((MOD(F118-E118,1)-N(G118))*24,2))</f>
        <v/>
      </c>
      <c r="L118" s="13">
        <f>IF(OR(H118="",I118=""),"",I118-H118)</f>
        <v/>
      </c>
      <c r="M118" s="13">
        <f>IF(B118="","",IF(J118="Parado - cliente",IFERROR(INDEX(Equipamentos!$D$5:$D$10,MATCH(B118,Equipamentos!$A$5:$A$10,0)),0),IF(OR(J118="Parado - manutenção",J118="Sem serviço"),0,MAX(N(K118),IFERROR(INDEX(Equipamentos!$D$5:$D$10,MATCH(B118,Equipamentos!$A$5:$A$10,0)),0)))))</f>
        <v/>
      </c>
      <c r="N118" s="14">
        <f>IF(B118="","",IFERROR(INDEX(Equipamentos!$C$5:$C$10,MATCH(B118,Equipamentos!$A$5:$A$10,0)),0))</f>
        <v/>
      </c>
      <c r="O118" s="14">
        <f>IF(B118="","",M118*N118)</f>
        <v/>
      </c>
      <c r="P118" s="9" t="n"/>
    </row>
    <row r="119">
      <c r="A119" s="15" t="n"/>
      <c r="B119" s="9" t="n"/>
      <c r="C119" s="9" t="n"/>
      <c r="D119" s="9" t="n"/>
      <c r="E119" s="16" t="n"/>
      <c r="F119" s="16" t="n"/>
      <c r="G119" s="16" t="n"/>
      <c r="H119" s="17" t="n"/>
      <c r="I119" s="17" t="n"/>
      <c r="J119" s="9" t="n"/>
      <c r="K119" s="13">
        <f>IF(OR(E119="",F119=""),"",ROUND((MOD(F119-E119,1)-N(G119))*24,2))</f>
        <v/>
      </c>
      <c r="L119" s="13">
        <f>IF(OR(H119="",I119=""),"",I119-H119)</f>
        <v/>
      </c>
      <c r="M119" s="13">
        <f>IF(B119="","",IF(J119="Parado - cliente",IFERROR(INDEX(Equipamentos!$D$5:$D$10,MATCH(B119,Equipamentos!$A$5:$A$10,0)),0),IF(OR(J119="Parado - manutenção",J119="Sem serviço"),0,MAX(N(K119),IFERROR(INDEX(Equipamentos!$D$5:$D$10,MATCH(B119,Equipamentos!$A$5:$A$10,0)),0)))))</f>
        <v/>
      </c>
      <c r="N119" s="14">
        <f>IF(B119="","",IFERROR(INDEX(Equipamentos!$C$5:$C$10,MATCH(B119,Equipamentos!$A$5:$A$10,0)),0))</f>
        <v/>
      </c>
      <c r="O119" s="14">
        <f>IF(B119="","",M119*N119)</f>
        <v/>
      </c>
      <c r="P119" s="9" t="n"/>
    </row>
    <row r="120">
      <c r="A120" s="15" t="n"/>
      <c r="B120" s="9" t="n"/>
      <c r="C120" s="9" t="n"/>
      <c r="D120" s="9" t="n"/>
      <c r="E120" s="16" t="n"/>
      <c r="F120" s="16" t="n"/>
      <c r="G120" s="16" t="n"/>
      <c r="H120" s="17" t="n"/>
      <c r="I120" s="17" t="n"/>
      <c r="J120" s="9" t="n"/>
      <c r="K120" s="13">
        <f>IF(OR(E120="",F120=""),"",ROUND((MOD(F120-E120,1)-N(G120))*24,2))</f>
        <v/>
      </c>
      <c r="L120" s="13">
        <f>IF(OR(H120="",I120=""),"",I120-H120)</f>
        <v/>
      </c>
      <c r="M120" s="13">
        <f>IF(B120="","",IF(J120="Parado - cliente",IFERROR(INDEX(Equipamentos!$D$5:$D$10,MATCH(B120,Equipamentos!$A$5:$A$10,0)),0),IF(OR(J120="Parado - manutenção",J120="Sem serviço"),0,MAX(N(K120),IFERROR(INDEX(Equipamentos!$D$5:$D$10,MATCH(B120,Equipamentos!$A$5:$A$10,0)),0)))))</f>
        <v/>
      </c>
      <c r="N120" s="14">
        <f>IF(B120="","",IFERROR(INDEX(Equipamentos!$C$5:$C$10,MATCH(B120,Equipamentos!$A$5:$A$10,0)),0))</f>
        <v/>
      </c>
      <c r="O120" s="14">
        <f>IF(B120="","",M120*N120)</f>
        <v/>
      </c>
      <c r="P120" s="9" t="n"/>
    </row>
    <row r="121">
      <c r="A121" s="15" t="n"/>
      <c r="B121" s="9" t="n"/>
      <c r="C121" s="9" t="n"/>
      <c r="D121" s="9" t="n"/>
      <c r="E121" s="16" t="n"/>
      <c r="F121" s="16" t="n"/>
      <c r="G121" s="16" t="n"/>
      <c r="H121" s="17" t="n"/>
      <c r="I121" s="17" t="n"/>
      <c r="J121" s="9" t="n"/>
      <c r="K121" s="13">
        <f>IF(OR(E121="",F121=""),"",ROUND((MOD(F121-E121,1)-N(G121))*24,2))</f>
        <v/>
      </c>
      <c r="L121" s="13">
        <f>IF(OR(H121="",I121=""),"",I121-H121)</f>
        <v/>
      </c>
      <c r="M121" s="13">
        <f>IF(B121="","",IF(J121="Parado - cliente",IFERROR(INDEX(Equipamentos!$D$5:$D$10,MATCH(B121,Equipamentos!$A$5:$A$10,0)),0),IF(OR(J121="Parado - manutenção",J121="Sem serviço"),0,MAX(N(K121),IFERROR(INDEX(Equipamentos!$D$5:$D$10,MATCH(B121,Equipamentos!$A$5:$A$10,0)),0)))))</f>
        <v/>
      </c>
      <c r="N121" s="14">
        <f>IF(B121="","",IFERROR(INDEX(Equipamentos!$C$5:$C$10,MATCH(B121,Equipamentos!$A$5:$A$10,0)),0))</f>
        <v/>
      </c>
      <c r="O121" s="14">
        <f>IF(B121="","",M121*N121)</f>
        <v/>
      </c>
      <c r="P121" s="9" t="n"/>
    </row>
    <row r="122">
      <c r="A122" s="15" t="n"/>
      <c r="B122" s="9" t="n"/>
      <c r="C122" s="9" t="n"/>
      <c r="D122" s="9" t="n"/>
      <c r="E122" s="16" t="n"/>
      <c r="F122" s="16" t="n"/>
      <c r="G122" s="16" t="n"/>
      <c r="H122" s="17" t="n"/>
      <c r="I122" s="17" t="n"/>
      <c r="J122" s="9" t="n"/>
      <c r="K122" s="13">
        <f>IF(OR(E122="",F122=""),"",ROUND((MOD(F122-E122,1)-N(G122))*24,2))</f>
        <v/>
      </c>
      <c r="L122" s="13">
        <f>IF(OR(H122="",I122=""),"",I122-H122)</f>
        <v/>
      </c>
      <c r="M122" s="13">
        <f>IF(B122="","",IF(J122="Parado - cliente",IFERROR(INDEX(Equipamentos!$D$5:$D$10,MATCH(B122,Equipamentos!$A$5:$A$10,0)),0),IF(OR(J122="Parado - manutenção",J122="Sem serviço"),0,MAX(N(K122),IFERROR(INDEX(Equipamentos!$D$5:$D$10,MATCH(B122,Equipamentos!$A$5:$A$10,0)),0)))))</f>
        <v/>
      </c>
      <c r="N122" s="14">
        <f>IF(B122="","",IFERROR(INDEX(Equipamentos!$C$5:$C$10,MATCH(B122,Equipamentos!$A$5:$A$10,0)),0))</f>
        <v/>
      </c>
      <c r="O122" s="14">
        <f>IF(B122="","",M122*N122)</f>
        <v/>
      </c>
      <c r="P122" s="9" t="n"/>
    </row>
    <row r="123">
      <c r="A123" s="15" t="n"/>
      <c r="B123" s="9" t="n"/>
      <c r="C123" s="9" t="n"/>
      <c r="D123" s="9" t="n"/>
      <c r="E123" s="16" t="n"/>
      <c r="F123" s="16" t="n"/>
      <c r="G123" s="16" t="n"/>
      <c r="H123" s="17" t="n"/>
      <c r="I123" s="17" t="n"/>
      <c r="J123" s="9" t="n"/>
      <c r="K123" s="13">
        <f>IF(OR(E123="",F123=""),"",ROUND((MOD(F123-E123,1)-N(G123))*24,2))</f>
        <v/>
      </c>
      <c r="L123" s="13">
        <f>IF(OR(H123="",I123=""),"",I123-H123)</f>
        <v/>
      </c>
      <c r="M123" s="13">
        <f>IF(B123="","",IF(J123="Parado - cliente",IFERROR(INDEX(Equipamentos!$D$5:$D$10,MATCH(B123,Equipamentos!$A$5:$A$10,0)),0),IF(OR(J123="Parado - manutenção",J123="Sem serviço"),0,MAX(N(K123),IFERROR(INDEX(Equipamentos!$D$5:$D$10,MATCH(B123,Equipamentos!$A$5:$A$10,0)),0)))))</f>
        <v/>
      </c>
      <c r="N123" s="14">
        <f>IF(B123="","",IFERROR(INDEX(Equipamentos!$C$5:$C$10,MATCH(B123,Equipamentos!$A$5:$A$10,0)),0))</f>
        <v/>
      </c>
      <c r="O123" s="14">
        <f>IF(B123="","",M123*N123)</f>
        <v/>
      </c>
      <c r="P123" s="9" t="n"/>
    </row>
    <row r="124">
      <c r="A124" s="15" t="n"/>
      <c r="B124" s="9" t="n"/>
      <c r="C124" s="9" t="n"/>
      <c r="D124" s="9" t="n"/>
      <c r="E124" s="16" t="n"/>
      <c r="F124" s="16" t="n"/>
      <c r="G124" s="16" t="n"/>
      <c r="H124" s="17" t="n"/>
      <c r="I124" s="17" t="n"/>
      <c r="J124" s="9" t="n"/>
      <c r="K124" s="13">
        <f>IF(OR(E124="",F124=""),"",ROUND((MOD(F124-E124,1)-N(G124))*24,2))</f>
        <v/>
      </c>
      <c r="L124" s="13">
        <f>IF(OR(H124="",I124=""),"",I124-H124)</f>
        <v/>
      </c>
      <c r="M124" s="13">
        <f>IF(B124="","",IF(J124="Parado - cliente",IFERROR(INDEX(Equipamentos!$D$5:$D$10,MATCH(B124,Equipamentos!$A$5:$A$10,0)),0),IF(OR(J124="Parado - manutenção",J124="Sem serviço"),0,MAX(N(K124),IFERROR(INDEX(Equipamentos!$D$5:$D$10,MATCH(B124,Equipamentos!$A$5:$A$10,0)),0)))))</f>
        <v/>
      </c>
      <c r="N124" s="14">
        <f>IF(B124="","",IFERROR(INDEX(Equipamentos!$C$5:$C$10,MATCH(B124,Equipamentos!$A$5:$A$10,0)),0))</f>
        <v/>
      </c>
      <c r="O124" s="14">
        <f>IF(B124="","",M124*N124)</f>
        <v/>
      </c>
      <c r="P124" s="9" t="n"/>
    </row>
    <row r="125">
      <c r="A125" s="15" t="n"/>
      <c r="B125" s="9" t="n"/>
      <c r="C125" s="9" t="n"/>
      <c r="D125" s="9" t="n"/>
      <c r="E125" s="16" t="n"/>
      <c r="F125" s="16" t="n"/>
      <c r="G125" s="16" t="n"/>
      <c r="H125" s="17" t="n"/>
      <c r="I125" s="17" t="n"/>
      <c r="J125" s="9" t="n"/>
      <c r="K125" s="13">
        <f>IF(OR(E125="",F125=""),"",ROUND((MOD(F125-E125,1)-N(G125))*24,2))</f>
        <v/>
      </c>
      <c r="L125" s="13">
        <f>IF(OR(H125="",I125=""),"",I125-H125)</f>
        <v/>
      </c>
      <c r="M125" s="13">
        <f>IF(B125="","",IF(J125="Parado - cliente",IFERROR(INDEX(Equipamentos!$D$5:$D$10,MATCH(B125,Equipamentos!$A$5:$A$10,0)),0),IF(OR(J125="Parado - manutenção",J125="Sem serviço"),0,MAX(N(K125),IFERROR(INDEX(Equipamentos!$D$5:$D$10,MATCH(B125,Equipamentos!$A$5:$A$10,0)),0)))))</f>
        <v/>
      </c>
      <c r="N125" s="14">
        <f>IF(B125="","",IFERROR(INDEX(Equipamentos!$C$5:$C$10,MATCH(B125,Equipamentos!$A$5:$A$10,0)),0))</f>
        <v/>
      </c>
      <c r="O125" s="14">
        <f>IF(B125="","",M125*N125)</f>
        <v/>
      </c>
      <c r="P125" s="9" t="n"/>
    </row>
    <row r="126">
      <c r="A126" s="15" t="n"/>
      <c r="B126" s="9" t="n"/>
      <c r="C126" s="9" t="n"/>
      <c r="D126" s="9" t="n"/>
      <c r="E126" s="16" t="n"/>
      <c r="F126" s="16" t="n"/>
      <c r="G126" s="16" t="n"/>
      <c r="H126" s="17" t="n"/>
      <c r="I126" s="17" t="n"/>
      <c r="J126" s="9" t="n"/>
      <c r="K126" s="13">
        <f>IF(OR(E126="",F126=""),"",ROUND((MOD(F126-E126,1)-N(G126))*24,2))</f>
        <v/>
      </c>
      <c r="L126" s="13">
        <f>IF(OR(H126="",I126=""),"",I126-H126)</f>
        <v/>
      </c>
      <c r="M126" s="13">
        <f>IF(B126="","",IF(J126="Parado - cliente",IFERROR(INDEX(Equipamentos!$D$5:$D$10,MATCH(B126,Equipamentos!$A$5:$A$10,0)),0),IF(OR(J126="Parado - manutenção",J126="Sem serviço"),0,MAX(N(K126),IFERROR(INDEX(Equipamentos!$D$5:$D$10,MATCH(B126,Equipamentos!$A$5:$A$10,0)),0)))))</f>
        <v/>
      </c>
      <c r="N126" s="14">
        <f>IF(B126="","",IFERROR(INDEX(Equipamentos!$C$5:$C$10,MATCH(B126,Equipamentos!$A$5:$A$10,0)),0))</f>
        <v/>
      </c>
      <c r="O126" s="14">
        <f>IF(B126="","",M126*N126)</f>
        <v/>
      </c>
      <c r="P126" s="9" t="n"/>
    </row>
    <row r="127">
      <c r="A127" s="15" t="n"/>
      <c r="B127" s="9" t="n"/>
      <c r="C127" s="9" t="n"/>
      <c r="D127" s="9" t="n"/>
      <c r="E127" s="16" t="n"/>
      <c r="F127" s="16" t="n"/>
      <c r="G127" s="16" t="n"/>
      <c r="H127" s="17" t="n"/>
      <c r="I127" s="17" t="n"/>
      <c r="J127" s="9" t="n"/>
      <c r="K127" s="13">
        <f>IF(OR(E127="",F127=""),"",ROUND((MOD(F127-E127,1)-N(G127))*24,2))</f>
        <v/>
      </c>
      <c r="L127" s="13">
        <f>IF(OR(H127="",I127=""),"",I127-H127)</f>
        <v/>
      </c>
      <c r="M127" s="13">
        <f>IF(B127="","",IF(J127="Parado - cliente",IFERROR(INDEX(Equipamentos!$D$5:$D$10,MATCH(B127,Equipamentos!$A$5:$A$10,0)),0),IF(OR(J127="Parado - manutenção",J127="Sem serviço"),0,MAX(N(K127),IFERROR(INDEX(Equipamentos!$D$5:$D$10,MATCH(B127,Equipamentos!$A$5:$A$10,0)),0)))))</f>
        <v/>
      </c>
      <c r="N127" s="14">
        <f>IF(B127="","",IFERROR(INDEX(Equipamentos!$C$5:$C$10,MATCH(B127,Equipamentos!$A$5:$A$10,0)),0))</f>
        <v/>
      </c>
      <c r="O127" s="14">
        <f>IF(B127="","",M127*N127)</f>
        <v/>
      </c>
      <c r="P127" s="9" t="n"/>
    </row>
    <row r="128">
      <c r="A128" s="15" t="n"/>
      <c r="B128" s="9" t="n"/>
      <c r="C128" s="9" t="n"/>
      <c r="D128" s="9" t="n"/>
      <c r="E128" s="16" t="n"/>
      <c r="F128" s="16" t="n"/>
      <c r="G128" s="16" t="n"/>
      <c r="H128" s="17" t="n"/>
      <c r="I128" s="17" t="n"/>
      <c r="J128" s="9" t="n"/>
      <c r="K128" s="13">
        <f>IF(OR(E128="",F128=""),"",ROUND((MOD(F128-E128,1)-N(G128))*24,2))</f>
        <v/>
      </c>
      <c r="L128" s="13">
        <f>IF(OR(H128="",I128=""),"",I128-H128)</f>
        <v/>
      </c>
      <c r="M128" s="13">
        <f>IF(B128="","",IF(J128="Parado - cliente",IFERROR(INDEX(Equipamentos!$D$5:$D$10,MATCH(B128,Equipamentos!$A$5:$A$10,0)),0),IF(OR(J128="Parado - manutenção",J128="Sem serviço"),0,MAX(N(K128),IFERROR(INDEX(Equipamentos!$D$5:$D$10,MATCH(B128,Equipamentos!$A$5:$A$10,0)),0)))))</f>
        <v/>
      </c>
      <c r="N128" s="14">
        <f>IF(B128="","",IFERROR(INDEX(Equipamentos!$C$5:$C$10,MATCH(B128,Equipamentos!$A$5:$A$10,0)),0))</f>
        <v/>
      </c>
      <c r="O128" s="14">
        <f>IF(B128="","",M128*N128)</f>
        <v/>
      </c>
      <c r="P128" s="9" t="n"/>
    </row>
    <row r="129">
      <c r="A129" s="15" t="n"/>
      <c r="B129" s="9" t="n"/>
      <c r="C129" s="9" t="n"/>
      <c r="D129" s="9" t="n"/>
      <c r="E129" s="16" t="n"/>
      <c r="F129" s="16" t="n"/>
      <c r="G129" s="16" t="n"/>
      <c r="H129" s="17" t="n"/>
      <c r="I129" s="17" t="n"/>
      <c r="J129" s="9" t="n"/>
      <c r="K129" s="13">
        <f>IF(OR(E129="",F129=""),"",ROUND((MOD(F129-E129,1)-N(G129))*24,2))</f>
        <v/>
      </c>
      <c r="L129" s="13">
        <f>IF(OR(H129="",I129=""),"",I129-H129)</f>
        <v/>
      </c>
      <c r="M129" s="13">
        <f>IF(B129="","",IF(J129="Parado - cliente",IFERROR(INDEX(Equipamentos!$D$5:$D$10,MATCH(B129,Equipamentos!$A$5:$A$10,0)),0),IF(OR(J129="Parado - manutenção",J129="Sem serviço"),0,MAX(N(K129),IFERROR(INDEX(Equipamentos!$D$5:$D$10,MATCH(B129,Equipamentos!$A$5:$A$10,0)),0)))))</f>
        <v/>
      </c>
      <c r="N129" s="14">
        <f>IF(B129="","",IFERROR(INDEX(Equipamentos!$C$5:$C$10,MATCH(B129,Equipamentos!$A$5:$A$10,0)),0))</f>
        <v/>
      </c>
      <c r="O129" s="14">
        <f>IF(B129="","",M129*N129)</f>
        <v/>
      </c>
      <c r="P129" s="9" t="n"/>
    </row>
    <row r="130">
      <c r="A130" s="15" t="n"/>
      <c r="B130" s="9" t="n"/>
      <c r="C130" s="9" t="n"/>
      <c r="D130" s="9" t="n"/>
      <c r="E130" s="16" t="n"/>
      <c r="F130" s="16" t="n"/>
      <c r="G130" s="16" t="n"/>
      <c r="H130" s="17" t="n"/>
      <c r="I130" s="17" t="n"/>
      <c r="J130" s="9" t="n"/>
      <c r="K130" s="13">
        <f>IF(OR(E130="",F130=""),"",ROUND((MOD(F130-E130,1)-N(G130))*24,2))</f>
        <v/>
      </c>
      <c r="L130" s="13">
        <f>IF(OR(H130="",I130=""),"",I130-H130)</f>
        <v/>
      </c>
      <c r="M130" s="13">
        <f>IF(B130="","",IF(J130="Parado - cliente",IFERROR(INDEX(Equipamentos!$D$5:$D$10,MATCH(B130,Equipamentos!$A$5:$A$10,0)),0),IF(OR(J130="Parado - manutenção",J130="Sem serviço"),0,MAX(N(K130),IFERROR(INDEX(Equipamentos!$D$5:$D$10,MATCH(B130,Equipamentos!$A$5:$A$10,0)),0)))))</f>
        <v/>
      </c>
      <c r="N130" s="14">
        <f>IF(B130="","",IFERROR(INDEX(Equipamentos!$C$5:$C$10,MATCH(B130,Equipamentos!$A$5:$A$10,0)),0))</f>
        <v/>
      </c>
      <c r="O130" s="14">
        <f>IF(B130="","",M130*N130)</f>
        <v/>
      </c>
      <c r="P130" s="9" t="n"/>
    </row>
    <row r="131">
      <c r="A131" s="15" t="n"/>
      <c r="B131" s="9" t="n"/>
      <c r="C131" s="9" t="n"/>
      <c r="D131" s="9" t="n"/>
      <c r="E131" s="16" t="n"/>
      <c r="F131" s="16" t="n"/>
      <c r="G131" s="16" t="n"/>
      <c r="H131" s="17" t="n"/>
      <c r="I131" s="17" t="n"/>
      <c r="J131" s="9" t="n"/>
      <c r="K131" s="13">
        <f>IF(OR(E131="",F131=""),"",ROUND((MOD(F131-E131,1)-N(G131))*24,2))</f>
        <v/>
      </c>
      <c r="L131" s="13">
        <f>IF(OR(H131="",I131=""),"",I131-H131)</f>
        <v/>
      </c>
      <c r="M131" s="13">
        <f>IF(B131="","",IF(J131="Parado - cliente",IFERROR(INDEX(Equipamentos!$D$5:$D$10,MATCH(B131,Equipamentos!$A$5:$A$10,0)),0),IF(OR(J131="Parado - manutenção",J131="Sem serviço"),0,MAX(N(K131),IFERROR(INDEX(Equipamentos!$D$5:$D$10,MATCH(B131,Equipamentos!$A$5:$A$10,0)),0)))))</f>
        <v/>
      </c>
      <c r="N131" s="14">
        <f>IF(B131="","",IFERROR(INDEX(Equipamentos!$C$5:$C$10,MATCH(B131,Equipamentos!$A$5:$A$10,0)),0))</f>
        <v/>
      </c>
      <c r="O131" s="14">
        <f>IF(B131="","",M131*N131)</f>
        <v/>
      </c>
      <c r="P131" s="9" t="n"/>
    </row>
    <row r="132">
      <c r="A132" s="15" t="n"/>
      <c r="B132" s="9" t="n"/>
      <c r="C132" s="9" t="n"/>
      <c r="D132" s="9" t="n"/>
      <c r="E132" s="16" t="n"/>
      <c r="F132" s="16" t="n"/>
      <c r="G132" s="16" t="n"/>
      <c r="H132" s="17" t="n"/>
      <c r="I132" s="17" t="n"/>
      <c r="J132" s="9" t="n"/>
      <c r="K132" s="13">
        <f>IF(OR(E132="",F132=""),"",ROUND((MOD(F132-E132,1)-N(G132))*24,2))</f>
        <v/>
      </c>
      <c r="L132" s="13">
        <f>IF(OR(H132="",I132=""),"",I132-H132)</f>
        <v/>
      </c>
      <c r="M132" s="13">
        <f>IF(B132="","",IF(J132="Parado - cliente",IFERROR(INDEX(Equipamentos!$D$5:$D$10,MATCH(B132,Equipamentos!$A$5:$A$10,0)),0),IF(OR(J132="Parado - manutenção",J132="Sem serviço"),0,MAX(N(K132),IFERROR(INDEX(Equipamentos!$D$5:$D$10,MATCH(B132,Equipamentos!$A$5:$A$10,0)),0)))))</f>
        <v/>
      </c>
      <c r="N132" s="14">
        <f>IF(B132="","",IFERROR(INDEX(Equipamentos!$C$5:$C$10,MATCH(B132,Equipamentos!$A$5:$A$10,0)),0))</f>
        <v/>
      </c>
      <c r="O132" s="14">
        <f>IF(B132="","",M132*N132)</f>
        <v/>
      </c>
      <c r="P132" s="9" t="n"/>
    </row>
    <row r="133">
      <c r="A133" s="15" t="n"/>
      <c r="B133" s="9" t="n"/>
      <c r="C133" s="9" t="n"/>
      <c r="D133" s="9" t="n"/>
      <c r="E133" s="16" t="n"/>
      <c r="F133" s="16" t="n"/>
      <c r="G133" s="16" t="n"/>
      <c r="H133" s="17" t="n"/>
      <c r="I133" s="17" t="n"/>
      <c r="J133" s="9" t="n"/>
      <c r="K133" s="13">
        <f>IF(OR(E133="",F133=""),"",ROUND((MOD(F133-E133,1)-N(G133))*24,2))</f>
        <v/>
      </c>
      <c r="L133" s="13">
        <f>IF(OR(H133="",I133=""),"",I133-H133)</f>
        <v/>
      </c>
      <c r="M133" s="13">
        <f>IF(B133="","",IF(J133="Parado - cliente",IFERROR(INDEX(Equipamentos!$D$5:$D$10,MATCH(B133,Equipamentos!$A$5:$A$10,0)),0),IF(OR(J133="Parado - manutenção",J133="Sem serviço"),0,MAX(N(K133),IFERROR(INDEX(Equipamentos!$D$5:$D$10,MATCH(B133,Equipamentos!$A$5:$A$10,0)),0)))))</f>
        <v/>
      </c>
      <c r="N133" s="14">
        <f>IF(B133="","",IFERROR(INDEX(Equipamentos!$C$5:$C$10,MATCH(B133,Equipamentos!$A$5:$A$10,0)),0))</f>
        <v/>
      </c>
      <c r="O133" s="14">
        <f>IF(B133="","",M133*N133)</f>
        <v/>
      </c>
      <c r="P133" s="9" t="n"/>
    </row>
    <row r="134">
      <c r="A134" s="15" t="n"/>
      <c r="B134" s="9" t="n"/>
      <c r="C134" s="9" t="n"/>
      <c r="D134" s="9" t="n"/>
      <c r="E134" s="16" t="n"/>
      <c r="F134" s="16" t="n"/>
      <c r="G134" s="16" t="n"/>
      <c r="H134" s="17" t="n"/>
      <c r="I134" s="17" t="n"/>
      <c r="J134" s="9" t="n"/>
      <c r="K134" s="13">
        <f>IF(OR(E134="",F134=""),"",ROUND((MOD(F134-E134,1)-N(G134))*24,2))</f>
        <v/>
      </c>
      <c r="L134" s="13">
        <f>IF(OR(H134="",I134=""),"",I134-H134)</f>
        <v/>
      </c>
      <c r="M134" s="13">
        <f>IF(B134="","",IF(J134="Parado - cliente",IFERROR(INDEX(Equipamentos!$D$5:$D$10,MATCH(B134,Equipamentos!$A$5:$A$10,0)),0),IF(OR(J134="Parado - manutenção",J134="Sem serviço"),0,MAX(N(K134),IFERROR(INDEX(Equipamentos!$D$5:$D$10,MATCH(B134,Equipamentos!$A$5:$A$10,0)),0)))))</f>
        <v/>
      </c>
      <c r="N134" s="14">
        <f>IF(B134="","",IFERROR(INDEX(Equipamentos!$C$5:$C$10,MATCH(B134,Equipamentos!$A$5:$A$10,0)),0))</f>
        <v/>
      </c>
      <c r="O134" s="14">
        <f>IF(B134="","",M134*N134)</f>
        <v/>
      </c>
      <c r="P134" s="9" t="n"/>
    </row>
    <row r="135">
      <c r="A135" s="15" t="n"/>
      <c r="B135" s="9" t="n"/>
      <c r="C135" s="9" t="n"/>
      <c r="D135" s="9" t="n"/>
      <c r="E135" s="16" t="n"/>
      <c r="F135" s="16" t="n"/>
      <c r="G135" s="16" t="n"/>
      <c r="H135" s="17" t="n"/>
      <c r="I135" s="17" t="n"/>
      <c r="J135" s="9" t="n"/>
      <c r="K135" s="13">
        <f>IF(OR(E135="",F135=""),"",ROUND((MOD(F135-E135,1)-N(G135))*24,2))</f>
        <v/>
      </c>
      <c r="L135" s="13">
        <f>IF(OR(H135="",I135=""),"",I135-H135)</f>
        <v/>
      </c>
      <c r="M135" s="13">
        <f>IF(B135="","",IF(J135="Parado - cliente",IFERROR(INDEX(Equipamentos!$D$5:$D$10,MATCH(B135,Equipamentos!$A$5:$A$10,0)),0),IF(OR(J135="Parado - manutenção",J135="Sem serviço"),0,MAX(N(K135),IFERROR(INDEX(Equipamentos!$D$5:$D$10,MATCH(B135,Equipamentos!$A$5:$A$10,0)),0)))))</f>
        <v/>
      </c>
      <c r="N135" s="14">
        <f>IF(B135="","",IFERROR(INDEX(Equipamentos!$C$5:$C$10,MATCH(B135,Equipamentos!$A$5:$A$10,0)),0))</f>
        <v/>
      </c>
      <c r="O135" s="14">
        <f>IF(B135="","",M135*N135)</f>
        <v/>
      </c>
      <c r="P135" s="9" t="n"/>
    </row>
    <row r="136">
      <c r="A136" s="15" t="n"/>
      <c r="B136" s="9" t="n"/>
      <c r="C136" s="9" t="n"/>
      <c r="D136" s="9" t="n"/>
      <c r="E136" s="16" t="n"/>
      <c r="F136" s="16" t="n"/>
      <c r="G136" s="16" t="n"/>
      <c r="H136" s="17" t="n"/>
      <c r="I136" s="17" t="n"/>
      <c r="J136" s="9" t="n"/>
      <c r="K136" s="13">
        <f>IF(OR(E136="",F136=""),"",ROUND((MOD(F136-E136,1)-N(G136))*24,2))</f>
        <v/>
      </c>
      <c r="L136" s="13">
        <f>IF(OR(H136="",I136=""),"",I136-H136)</f>
        <v/>
      </c>
      <c r="M136" s="13">
        <f>IF(B136="","",IF(J136="Parado - cliente",IFERROR(INDEX(Equipamentos!$D$5:$D$10,MATCH(B136,Equipamentos!$A$5:$A$10,0)),0),IF(OR(J136="Parado - manutenção",J136="Sem serviço"),0,MAX(N(K136),IFERROR(INDEX(Equipamentos!$D$5:$D$10,MATCH(B136,Equipamentos!$A$5:$A$10,0)),0)))))</f>
        <v/>
      </c>
      <c r="N136" s="14">
        <f>IF(B136="","",IFERROR(INDEX(Equipamentos!$C$5:$C$10,MATCH(B136,Equipamentos!$A$5:$A$10,0)),0))</f>
        <v/>
      </c>
      <c r="O136" s="14">
        <f>IF(B136="","",M136*N136)</f>
        <v/>
      </c>
      <c r="P136" s="9" t="n"/>
    </row>
    <row r="137">
      <c r="A137" s="15" t="n"/>
      <c r="B137" s="9" t="n"/>
      <c r="C137" s="9" t="n"/>
      <c r="D137" s="9" t="n"/>
      <c r="E137" s="16" t="n"/>
      <c r="F137" s="16" t="n"/>
      <c r="G137" s="16" t="n"/>
      <c r="H137" s="17" t="n"/>
      <c r="I137" s="17" t="n"/>
      <c r="J137" s="9" t="n"/>
      <c r="K137" s="13">
        <f>IF(OR(E137="",F137=""),"",ROUND((MOD(F137-E137,1)-N(G137))*24,2))</f>
        <v/>
      </c>
      <c r="L137" s="13">
        <f>IF(OR(H137="",I137=""),"",I137-H137)</f>
        <v/>
      </c>
      <c r="M137" s="13">
        <f>IF(B137="","",IF(J137="Parado - cliente",IFERROR(INDEX(Equipamentos!$D$5:$D$10,MATCH(B137,Equipamentos!$A$5:$A$10,0)),0),IF(OR(J137="Parado - manutenção",J137="Sem serviço"),0,MAX(N(K137),IFERROR(INDEX(Equipamentos!$D$5:$D$10,MATCH(B137,Equipamentos!$A$5:$A$10,0)),0)))))</f>
        <v/>
      </c>
      <c r="N137" s="14">
        <f>IF(B137="","",IFERROR(INDEX(Equipamentos!$C$5:$C$10,MATCH(B137,Equipamentos!$A$5:$A$10,0)),0))</f>
        <v/>
      </c>
      <c r="O137" s="14">
        <f>IF(B137="","",M137*N137)</f>
        <v/>
      </c>
      <c r="P137" s="9" t="n"/>
    </row>
    <row r="138">
      <c r="A138" s="15" t="n"/>
      <c r="B138" s="9" t="n"/>
      <c r="C138" s="9" t="n"/>
      <c r="D138" s="9" t="n"/>
      <c r="E138" s="16" t="n"/>
      <c r="F138" s="16" t="n"/>
      <c r="G138" s="16" t="n"/>
      <c r="H138" s="17" t="n"/>
      <c r="I138" s="17" t="n"/>
      <c r="J138" s="9" t="n"/>
      <c r="K138" s="13">
        <f>IF(OR(E138="",F138=""),"",ROUND((MOD(F138-E138,1)-N(G138))*24,2))</f>
        <v/>
      </c>
      <c r="L138" s="13">
        <f>IF(OR(H138="",I138=""),"",I138-H138)</f>
        <v/>
      </c>
      <c r="M138" s="13">
        <f>IF(B138="","",IF(J138="Parado - cliente",IFERROR(INDEX(Equipamentos!$D$5:$D$10,MATCH(B138,Equipamentos!$A$5:$A$10,0)),0),IF(OR(J138="Parado - manutenção",J138="Sem serviço"),0,MAX(N(K138),IFERROR(INDEX(Equipamentos!$D$5:$D$10,MATCH(B138,Equipamentos!$A$5:$A$10,0)),0)))))</f>
        <v/>
      </c>
      <c r="N138" s="14">
        <f>IF(B138="","",IFERROR(INDEX(Equipamentos!$C$5:$C$10,MATCH(B138,Equipamentos!$A$5:$A$10,0)),0))</f>
        <v/>
      </c>
      <c r="O138" s="14">
        <f>IF(B138="","",M138*N138)</f>
        <v/>
      </c>
      <c r="P138" s="9" t="n"/>
    </row>
    <row r="139">
      <c r="A139" s="15" t="n"/>
      <c r="B139" s="9" t="n"/>
      <c r="C139" s="9" t="n"/>
      <c r="D139" s="9" t="n"/>
      <c r="E139" s="16" t="n"/>
      <c r="F139" s="16" t="n"/>
      <c r="G139" s="16" t="n"/>
      <c r="H139" s="17" t="n"/>
      <c r="I139" s="17" t="n"/>
      <c r="J139" s="9" t="n"/>
      <c r="K139" s="13">
        <f>IF(OR(E139="",F139=""),"",ROUND((MOD(F139-E139,1)-N(G139))*24,2))</f>
        <v/>
      </c>
      <c r="L139" s="13">
        <f>IF(OR(H139="",I139=""),"",I139-H139)</f>
        <v/>
      </c>
      <c r="M139" s="13">
        <f>IF(B139="","",IF(J139="Parado - cliente",IFERROR(INDEX(Equipamentos!$D$5:$D$10,MATCH(B139,Equipamentos!$A$5:$A$10,0)),0),IF(OR(J139="Parado - manutenção",J139="Sem serviço"),0,MAX(N(K139),IFERROR(INDEX(Equipamentos!$D$5:$D$10,MATCH(B139,Equipamentos!$A$5:$A$10,0)),0)))))</f>
        <v/>
      </c>
      <c r="N139" s="14">
        <f>IF(B139="","",IFERROR(INDEX(Equipamentos!$C$5:$C$10,MATCH(B139,Equipamentos!$A$5:$A$10,0)),0))</f>
        <v/>
      </c>
      <c r="O139" s="14">
        <f>IF(B139="","",M139*N139)</f>
        <v/>
      </c>
      <c r="P139" s="9" t="n"/>
    </row>
    <row r="140">
      <c r="A140" s="15" t="n"/>
      <c r="B140" s="9" t="n"/>
      <c r="C140" s="9" t="n"/>
      <c r="D140" s="9" t="n"/>
      <c r="E140" s="16" t="n"/>
      <c r="F140" s="16" t="n"/>
      <c r="G140" s="16" t="n"/>
      <c r="H140" s="17" t="n"/>
      <c r="I140" s="17" t="n"/>
      <c r="J140" s="9" t="n"/>
      <c r="K140" s="13">
        <f>IF(OR(E140="",F140=""),"",ROUND((MOD(F140-E140,1)-N(G140))*24,2))</f>
        <v/>
      </c>
      <c r="L140" s="13">
        <f>IF(OR(H140="",I140=""),"",I140-H140)</f>
        <v/>
      </c>
      <c r="M140" s="13">
        <f>IF(B140="","",IF(J140="Parado - cliente",IFERROR(INDEX(Equipamentos!$D$5:$D$10,MATCH(B140,Equipamentos!$A$5:$A$10,0)),0),IF(OR(J140="Parado - manutenção",J140="Sem serviço"),0,MAX(N(K140),IFERROR(INDEX(Equipamentos!$D$5:$D$10,MATCH(B140,Equipamentos!$A$5:$A$10,0)),0)))))</f>
        <v/>
      </c>
      <c r="N140" s="14">
        <f>IF(B140="","",IFERROR(INDEX(Equipamentos!$C$5:$C$10,MATCH(B140,Equipamentos!$A$5:$A$10,0)),0))</f>
        <v/>
      </c>
      <c r="O140" s="14">
        <f>IF(B140="","",M140*N140)</f>
        <v/>
      </c>
      <c r="P140" s="9" t="n"/>
    </row>
    <row r="141">
      <c r="A141" s="15" t="n"/>
      <c r="B141" s="9" t="n"/>
      <c r="C141" s="9" t="n"/>
      <c r="D141" s="9" t="n"/>
      <c r="E141" s="16" t="n"/>
      <c r="F141" s="16" t="n"/>
      <c r="G141" s="16" t="n"/>
      <c r="H141" s="17" t="n"/>
      <c r="I141" s="17" t="n"/>
      <c r="J141" s="9" t="n"/>
      <c r="K141" s="13">
        <f>IF(OR(E141="",F141=""),"",ROUND((MOD(F141-E141,1)-N(G141))*24,2))</f>
        <v/>
      </c>
      <c r="L141" s="13">
        <f>IF(OR(H141="",I141=""),"",I141-H141)</f>
        <v/>
      </c>
      <c r="M141" s="13">
        <f>IF(B141="","",IF(J141="Parado - cliente",IFERROR(INDEX(Equipamentos!$D$5:$D$10,MATCH(B141,Equipamentos!$A$5:$A$10,0)),0),IF(OR(J141="Parado - manutenção",J141="Sem serviço"),0,MAX(N(K141),IFERROR(INDEX(Equipamentos!$D$5:$D$10,MATCH(B141,Equipamentos!$A$5:$A$10,0)),0)))))</f>
        <v/>
      </c>
      <c r="N141" s="14">
        <f>IF(B141="","",IFERROR(INDEX(Equipamentos!$C$5:$C$10,MATCH(B141,Equipamentos!$A$5:$A$10,0)),0))</f>
        <v/>
      </c>
      <c r="O141" s="14">
        <f>IF(B141="","",M141*N141)</f>
        <v/>
      </c>
      <c r="P141" s="9" t="n"/>
    </row>
    <row r="142">
      <c r="A142" s="15" t="n"/>
      <c r="B142" s="9" t="n"/>
      <c r="C142" s="9" t="n"/>
      <c r="D142" s="9" t="n"/>
      <c r="E142" s="16" t="n"/>
      <c r="F142" s="16" t="n"/>
      <c r="G142" s="16" t="n"/>
      <c r="H142" s="17" t="n"/>
      <c r="I142" s="17" t="n"/>
      <c r="J142" s="9" t="n"/>
      <c r="K142" s="13">
        <f>IF(OR(E142="",F142=""),"",ROUND((MOD(F142-E142,1)-N(G142))*24,2))</f>
        <v/>
      </c>
      <c r="L142" s="13">
        <f>IF(OR(H142="",I142=""),"",I142-H142)</f>
        <v/>
      </c>
      <c r="M142" s="13">
        <f>IF(B142="","",IF(J142="Parado - cliente",IFERROR(INDEX(Equipamentos!$D$5:$D$10,MATCH(B142,Equipamentos!$A$5:$A$10,0)),0),IF(OR(J142="Parado - manutenção",J142="Sem serviço"),0,MAX(N(K142),IFERROR(INDEX(Equipamentos!$D$5:$D$10,MATCH(B142,Equipamentos!$A$5:$A$10,0)),0)))))</f>
        <v/>
      </c>
      <c r="N142" s="14">
        <f>IF(B142="","",IFERROR(INDEX(Equipamentos!$C$5:$C$10,MATCH(B142,Equipamentos!$A$5:$A$10,0)),0))</f>
        <v/>
      </c>
      <c r="O142" s="14">
        <f>IF(B142="","",M142*N142)</f>
        <v/>
      </c>
      <c r="P142" s="9" t="n"/>
    </row>
    <row r="143">
      <c r="A143" s="15" t="n"/>
      <c r="B143" s="9" t="n"/>
      <c r="C143" s="9" t="n"/>
      <c r="D143" s="9" t="n"/>
      <c r="E143" s="16" t="n"/>
      <c r="F143" s="16" t="n"/>
      <c r="G143" s="16" t="n"/>
      <c r="H143" s="17" t="n"/>
      <c r="I143" s="17" t="n"/>
      <c r="J143" s="9" t="n"/>
      <c r="K143" s="13">
        <f>IF(OR(E143="",F143=""),"",ROUND((MOD(F143-E143,1)-N(G143))*24,2))</f>
        <v/>
      </c>
      <c r="L143" s="13">
        <f>IF(OR(H143="",I143=""),"",I143-H143)</f>
        <v/>
      </c>
      <c r="M143" s="13">
        <f>IF(B143="","",IF(J143="Parado - cliente",IFERROR(INDEX(Equipamentos!$D$5:$D$10,MATCH(B143,Equipamentos!$A$5:$A$10,0)),0),IF(OR(J143="Parado - manutenção",J143="Sem serviço"),0,MAX(N(K143),IFERROR(INDEX(Equipamentos!$D$5:$D$10,MATCH(B143,Equipamentos!$A$5:$A$10,0)),0)))))</f>
        <v/>
      </c>
      <c r="N143" s="14">
        <f>IF(B143="","",IFERROR(INDEX(Equipamentos!$C$5:$C$10,MATCH(B143,Equipamentos!$A$5:$A$10,0)),0))</f>
        <v/>
      </c>
      <c r="O143" s="14">
        <f>IF(B143="","",M143*N143)</f>
        <v/>
      </c>
      <c r="P143" s="9" t="n"/>
    </row>
    <row r="144">
      <c r="A144" s="15" t="n"/>
      <c r="B144" s="9" t="n"/>
      <c r="C144" s="9" t="n"/>
      <c r="D144" s="9" t="n"/>
      <c r="E144" s="16" t="n"/>
      <c r="F144" s="16" t="n"/>
      <c r="G144" s="16" t="n"/>
      <c r="H144" s="17" t="n"/>
      <c r="I144" s="17" t="n"/>
      <c r="J144" s="9" t="n"/>
      <c r="K144" s="13">
        <f>IF(OR(E144="",F144=""),"",ROUND((MOD(F144-E144,1)-N(G144))*24,2))</f>
        <v/>
      </c>
      <c r="L144" s="13">
        <f>IF(OR(H144="",I144=""),"",I144-H144)</f>
        <v/>
      </c>
      <c r="M144" s="13">
        <f>IF(B144="","",IF(J144="Parado - cliente",IFERROR(INDEX(Equipamentos!$D$5:$D$10,MATCH(B144,Equipamentos!$A$5:$A$10,0)),0),IF(OR(J144="Parado - manutenção",J144="Sem serviço"),0,MAX(N(K144),IFERROR(INDEX(Equipamentos!$D$5:$D$10,MATCH(B144,Equipamentos!$A$5:$A$10,0)),0)))))</f>
        <v/>
      </c>
      <c r="N144" s="14">
        <f>IF(B144="","",IFERROR(INDEX(Equipamentos!$C$5:$C$10,MATCH(B144,Equipamentos!$A$5:$A$10,0)),0))</f>
        <v/>
      </c>
      <c r="O144" s="14">
        <f>IF(B144="","",M144*N144)</f>
        <v/>
      </c>
      <c r="P144" s="9" t="n"/>
    </row>
    <row r="145">
      <c r="A145" s="15" t="n"/>
      <c r="B145" s="9" t="n"/>
      <c r="C145" s="9" t="n"/>
      <c r="D145" s="9" t="n"/>
      <c r="E145" s="16" t="n"/>
      <c r="F145" s="16" t="n"/>
      <c r="G145" s="16" t="n"/>
      <c r="H145" s="17" t="n"/>
      <c r="I145" s="17" t="n"/>
      <c r="J145" s="9" t="n"/>
      <c r="K145" s="13">
        <f>IF(OR(E145="",F145=""),"",ROUND((MOD(F145-E145,1)-N(G145))*24,2))</f>
        <v/>
      </c>
      <c r="L145" s="13">
        <f>IF(OR(H145="",I145=""),"",I145-H145)</f>
        <v/>
      </c>
      <c r="M145" s="13">
        <f>IF(B145="","",IF(J145="Parado - cliente",IFERROR(INDEX(Equipamentos!$D$5:$D$10,MATCH(B145,Equipamentos!$A$5:$A$10,0)),0),IF(OR(J145="Parado - manutenção",J145="Sem serviço"),0,MAX(N(K145),IFERROR(INDEX(Equipamentos!$D$5:$D$10,MATCH(B145,Equipamentos!$A$5:$A$10,0)),0)))))</f>
        <v/>
      </c>
      <c r="N145" s="14">
        <f>IF(B145="","",IFERROR(INDEX(Equipamentos!$C$5:$C$10,MATCH(B145,Equipamentos!$A$5:$A$10,0)),0))</f>
        <v/>
      </c>
      <c r="O145" s="14">
        <f>IF(B145="","",M145*N145)</f>
        <v/>
      </c>
      <c r="P145" s="9" t="n"/>
    </row>
    <row r="146">
      <c r="A146" s="15" t="n"/>
      <c r="B146" s="9" t="n"/>
      <c r="C146" s="9" t="n"/>
      <c r="D146" s="9" t="n"/>
      <c r="E146" s="16" t="n"/>
      <c r="F146" s="16" t="n"/>
      <c r="G146" s="16" t="n"/>
      <c r="H146" s="17" t="n"/>
      <c r="I146" s="17" t="n"/>
      <c r="J146" s="9" t="n"/>
      <c r="K146" s="13">
        <f>IF(OR(E146="",F146=""),"",ROUND((MOD(F146-E146,1)-N(G146))*24,2))</f>
        <v/>
      </c>
      <c r="L146" s="13">
        <f>IF(OR(H146="",I146=""),"",I146-H146)</f>
        <v/>
      </c>
      <c r="M146" s="13">
        <f>IF(B146="","",IF(J146="Parado - cliente",IFERROR(INDEX(Equipamentos!$D$5:$D$10,MATCH(B146,Equipamentos!$A$5:$A$10,0)),0),IF(OR(J146="Parado - manutenção",J146="Sem serviço"),0,MAX(N(K146),IFERROR(INDEX(Equipamentos!$D$5:$D$10,MATCH(B146,Equipamentos!$A$5:$A$10,0)),0)))))</f>
        <v/>
      </c>
      <c r="N146" s="14">
        <f>IF(B146="","",IFERROR(INDEX(Equipamentos!$C$5:$C$10,MATCH(B146,Equipamentos!$A$5:$A$10,0)),0))</f>
        <v/>
      </c>
      <c r="O146" s="14">
        <f>IF(B146="","",M146*N146)</f>
        <v/>
      </c>
      <c r="P146" s="9" t="n"/>
    </row>
    <row r="147">
      <c r="A147" s="15" t="n"/>
      <c r="B147" s="9" t="n"/>
      <c r="C147" s="9" t="n"/>
      <c r="D147" s="9" t="n"/>
      <c r="E147" s="16" t="n"/>
      <c r="F147" s="16" t="n"/>
      <c r="G147" s="16" t="n"/>
      <c r="H147" s="17" t="n"/>
      <c r="I147" s="17" t="n"/>
      <c r="J147" s="9" t="n"/>
      <c r="K147" s="13">
        <f>IF(OR(E147="",F147=""),"",ROUND((MOD(F147-E147,1)-N(G147))*24,2))</f>
        <v/>
      </c>
      <c r="L147" s="13">
        <f>IF(OR(H147="",I147=""),"",I147-H147)</f>
        <v/>
      </c>
      <c r="M147" s="13">
        <f>IF(B147="","",IF(J147="Parado - cliente",IFERROR(INDEX(Equipamentos!$D$5:$D$10,MATCH(B147,Equipamentos!$A$5:$A$10,0)),0),IF(OR(J147="Parado - manutenção",J147="Sem serviço"),0,MAX(N(K147),IFERROR(INDEX(Equipamentos!$D$5:$D$10,MATCH(B147,Equipamentos!$A$5:$A$10,0)),0)))))</f>
        <v/>
      </c>
      <c r="N147" s="14">
        <f>IF(B147="","",IFERROR(INDEX(Equipamentos!$C$5:$C$10,MATCH(B147,Equipamentos!$A$5:$A$10,0)),0))</f>
        <v/>
      </c>
      <c r="O147" s="14">
        <f>IF(B147="","",M147*N147)</f>
        <v/>
      </c>
      <c r="P147" s="9" t="n"/>
    </row>
    <row r="148">
      <c r="A148" s="15" t="n"/>
      <c r="B148" s="9" t="n"/>
      <c r="C148" s="9" t="n"/>
      <c r="D148" s="9" t="n"/>
      <c r="E148" s="16" t="n"/>
      <c r="F148" s="16" t="n"/>
      <c r="G148" s="16" t="n"/>
      <c r="H148" s="17" t="n"/>
      <c r="I148" s="17" t="n"/>
      <c r="J148" s="9" t="n"/>
      <c r="K148" s="13">
        <f>IF(OR(E148="",F148=""),"",ROUND((MOD(F148-E148,1)-N(G148))*24,2))</f>
        <v/>
      </c>
      <c r="L148" s="13">
        <f>IF(OR(H148="",I148=""),"",I148-H148)</f>
        <v/>
      </c>
      <c r="M148" s="13">
        <f>IF(B148="","",IF(J148="Parado - cliente",IFERROR(INDEX(Equipamentos!$D$5:$D$10,MATCH(B148,Equipamentos!$A$5:$A$10,0)),0),IF(OR(J148="Parado - manutenção",J148="Sem serviço"),0,MAX(N(K148),IFERROR(INDEX(Equipamentos!$D$5:$D$10,MATCH(B148,Equipamentos!$A$5:$A$10,0)),0)))))</f>
        <v/>
      </c>
      <c r="N148" s="14">
        <f>IF(B148="","",IFERROR(INDEX(Equipamentos!$C$5:$C$10,MATCH(B148,Equipamentos!$A$5:$A$10,0)),0))</f>
        <v/>
      </c>
      <c r="O148" s="14">
        <f>IF(B148="","",M148*N148)</f>
        <v/>
      </c>
      <c r="P148" s="9" t="n"/>
    </row>
    <row r="149">
      <c r="A149" s="15" t="n"/>
      <c r="B149" s="9" t="n"/>
      <c r="C149" s="9" t="n"/>
      <c r="D149" s="9" t="n"/>
      <c r="E149" s="16" t="n"/>
      <c r="F149" s="16" t="n"/>
      <c r="G149" s="16" t="n"/>
      <c r="H149" s="17" t="n"/>
      <c r="I149" s="17" t="n"/>
      <c r="J149" s="9" t="n"/>
      <c r="K149" s="13">
        <f>IF(OR(E149="",F149=""),"",ROUND((MOD(F149-E149,1)-N(G149))*24,2))</f>
        <v/>
      </c>
      <c r="L149" s="13">
        <f>IF(OR(H149="",I149=""),"",I149-H149)</f>
        <v/>
      </c>
      <c r="M149" s="13">
        <f>IF(B149="","",IF(J149="Parado - cliente",IFERROR(INDEX(Equipamentos!$D$5:$D$10,MATCH(B149,Equipamentos!$A$5:$A$10,0)),0),IF(OR(J149="Parado - manutenção",J149="Sem serviço"),0,MAX(N(K149),IFERROR(INDEX(Equipamentos!$D$5:$D$10,MATCH(B149,Equipamentos!$A$5:$A$10,0)),0)))))</f>
        <v/>
      </c>
      <c r="N149" s="14">
        <f>IF(B149="","",IFERROR(INDEX(Equipamentos!$C$5:$C$10,MATCH(B149,Equipamentos!$A$5:$A$10,0)),0))</f>
        <v/>
      </c>
      <c r="O149" s="14">
        <f>IF(B149="","",M149*N149)</f>
        <v/>
      </c>
      <c r="P149" s="9" t="n"/>
    </row>
    <row r="150">
      <c r="A150" s="15" t="n"/>
      <c r="B150" s="9" t="n"/>
      <c r="C150" s="9" t="n"/>
      <c r="D150" s="9" t="n"/>
      <c r="E150" s="16" t="n"/>
      <c r="F150" s="16" t="n"/>
      <c r="G150" s="16" t="n"/>
      <c r="H150" s="17" t="n"/>
      <c r="I150" s="17" t="n"/>
      <c r="J150" s="9" t="n"/>
      <c r="K150" s="13">
        <f>IF(OR(E150="",F150=""),"",ROUND((MOD(F150-E150,1)-N(G150))*24,2))</f>
        <v/>
      </c>
      <c r="L150" s="13">
        <f>IF(OR(H150="",I150=""),"",I150-H150)</f>
        <v/>
      </c>
      <c r="M150" s="13">
        <f>IF(B150="","",IF(J150="Parado - cliente",IFERROR(INDEX(Equipamentos!$D$5:$D$10,MATCH(B150,Equipamentos!$A$5:$A$10,0)),0),IF(OR(J150="Parado - manutenção",J150="Sem serviço"),0,MAX(N(K150),IFERROR(INDEX(Equipamentos!$D$5:$D$10,MATCH(B150,Equipamentos!$A$5:$A$10,0)),0)))))</f>
        <v/>
      </c>
      <c r="N150" s="14">
        <f>IF(B150="","",IFERROR(INDEX(Equipamentos!$C$5:$C$10,MATCH(B150,Equipamentos!$A$5:$A$10,0)),0))</f>
        <v/>
      </c>
      <c r="O150" s="14">
        <f>IF(B150="","",M150*N150)</f>
        <v/>
      </c>
      <c r="P150" s="9" t="n"/>
    </row>
    <row r="151">
      <c r="A151" s="15" t="n"/>
      <c r="B151" s="9" t="n"/>
      <c r="C151" s="9" t="n"/>
      <c r="D151" s="9" t="n"/>
      <c r="E151" s="16" t="n"/>
      <c r="F151" s="16" t="n"/>
      <c r="G151" s="16" t="n"/>
      <c r="H151" s="17" t="n"/>
      <c r="I151" s="17" t="n"/>
      <c r="J151" s="9" t="n"/>
      <c r="K151" s="13">
        <f>IF(OR(E151="",F151=""),"",ROUND((MOD(F151-E151,1)-N(G151))*24,2))</f>
        <v/>
      </c>
      <c r="L151" s="13">
        <f>IF(OR(H151="",I151=""),"",I151-H151)</f>
        <v/>
      </c>
      <c r="M151" s="13">
        <f>IF(B151="","",IF(J151="Parado - cliente",IFERROR(INDEX(Equipamentos!$D$5:$D$10,MATCH(B151,Equipamentos!$A$5:$A$10,0)),0),IF(OR(J151="Parado - manutenção",J151="Sem serviço"),0,MAX(N(K151),IFERROR(INDEX(Equipamentos!$D$5:$D$10,MATCH(B151,Equipamentos!$A$5:$A$10,0)),0)))))</f>
        <v/>
      </c>
      <c r="N151" s="14">
        <f>IF(B151="","",IFERROR(INDEX(Equipamentos!$C$5:$C$10,MATCH(B151,Equipamentos!$A$5:$A$10,0)),0))</f>
        <v/>
      </c>
      <c r="O151" s="14">
        <f>IF(B151="","",M151*N151)</f>
        <v/>
      </c>
      <c r="P151" s="9" t="n"/>
    </row>
    <row r="152">
      <c r="A152" s="15" t="n"/>
      <c r="B152" s="9" t="n"/>
      <c r="C152" s="9" t="n"/>
      <c r="D152" s="9" t="n"/>
      <c r="E152" s="16" t="n"/>
      <c r="F152" s="16" t="n"/>
      <c r="G152" s="16" t="n"/>
      <c r="H152" s="17" t="n"/>
      <c r="I152" s="17" t="n"/>
      <c r="J152" s="9" t="n"/>
      <c r="K152" s="13">
        <f>IF(OR(E152="",F152=""),"",ROUND((MOD(F152-E152,1)-N(G152))*24,2))</f>
        <v/>
      </c>
      <c r="L152" s="13">
        <f>IF(OR(H152="",I152=""),"",I152-H152)</f>
        <v/>
      </c>
      <c r="M152" s="13">
        <f>IF(B152="","",IF(J152="Parado - cliente",IFERROR(INDEX(Equipamentos!$D$5:$D$10,MATCH(B152,Equipamentos!$A$5:$A$10,0)),0),IF(OR(J152="Parado - manutenção",J152="Sem serviço"),0,MAX(N(K152),IFERROR(INDEX(Equipamentos!$D$5:$D$10,MATCH(B152,Equipamentos!$A$5:$A$10,0)),0)))))</f>
        <v/>
      </c>
      <c r="N152" s="14">
        <f>IF(B152="","",IFERROR(INDEX(Equipamentos!$C$5:$C$10,MATCH(B152,Equipamentos!$A$5:$A$10,0)),0))</f>
        <v/>
      </c>
      <c r="O152" s="14">
        <f>IF(B152="","",M152*N152)</f>
        <v/>
      </c>
      <c r="P152" s="9" t="n"/>
    </row>
    <row r="153">
      <c r="A153" s="15" t="n"/>
      <c r="B153" s="9" t="n"/>
      <c r="C153" s="9" t="n"/>
      <c r="D153" s="9" t="n"/>
      <c r="E153" s="16" t="n"/>
      <c r="F153" s="16" t="n"/>
      <c r="G153" s="16" t="n"/>
      <c r="H153" s="17" t="n"/>
      <c r="I153" s="17" t="n"/>
      <c r="J153" s="9" t="n"/>
      <c r="K153" s="13">
        <f>IF(OR(E153="",F153=""),"",ROUND((MOD(F153-E153,1)-N(G153))*24,2))</f>
        <v/>
      </c>
      <c r="L153" s="13">
        <f>IF(OR(H153="",I153=""),"",I153-H153)</f>
        <v/>
      </c>
      <c r="M153" s="13">
        <f>IF(B153="","",IF(J153="Parado - cliente",IFERROR(INDEX(Equipamentos!$D$5:$D$10,MATCH(B153,Equipamentos!$A$5:$A$10,0)),0),IF(OR(J153="Parado - manutenção",J153="Sem serviço"),0,MAX(N(K153),IFERROR(INDEX(Equipamentos!$D$5:$D$10,MATCH(B153,Equipamentos!$A$5:$A$10,0)),0)))))</f>
        <v/>
      </c>
      <c r="N153" s="14">
        <f>IF(B153="","",IFERROR(INDEX(Equipamentos!$C$5:$C$10,MATCH(B153,Equipamentos!$A$5:$A$10,0)),0))</f>
        <v/>
      </c>
      <c r="O153" s="14">
        <f>IF(B153="","",M153*N153)</f>
        <v/>
      </c>
      <c r="P153" s="9" t="n"/>
    </row>
    <row r="154">
      <c r="A154" s="15" t="n"/>
      <c r="B154" s="9" t="n"/>
      <c r="C154" s="9" t="n"/>
      <c r="D154" s="9" t="n"/>
      <c r="E154" s="16" t="n"/>
      <c r="F154" s="16" t="n"/>
      <c r="G154" s="16" t="n"/>
      <c r="H154" s="17" t="n"/>
      <c r="I154" s="17" t="n"/>
      <c r="J154" s="9" t="n"/>
      <c r="K154" s="13">
        <f>IF(OR(E154="",F154=""),"",ROUND((MOD(F154-E154,1)-N(G154))*24,2))</f>
        <v/>
      </c>
      <c r="L154" s="13">
        <f>IF(OR(H154="",I154=""),"",I154-H154)</f>
        <v/>
      </c>
      <c r="M154" s="13">
        <f>IF(B154="","",IF(J154="Parado - cliente",IFERROR(INDEX(Equipamentos!$D$5:$D$10,MATCH(B154,Equipamentos!$A$5:$A$10,0)),0),IF(OR(J154="Parado - manutenção",J154="Sem serviço"),0,MAX(N(K154),IFERROR(INDEX(Equipamentos!$D$5:$D$10,MATCH(B154,Equipamentos!$A$5:$A$10,0)),0)))))</f>
        <v/>
      </c>
      <c r="N154" s="14">
        <f>IF(B154="","",IFERROR(INDEX(Equipamentos!$C$5:$C$10,MATCH(B154,Equipamentos!$A$5:$A$10,0)),0))</f>
        <v/>
      </c>
      <c r="O154" s="14">
        <f>IF(B154="","",M154*N154)</f>
        <v/>
      </c>
      <c r="P154" s="9" t="n"/>
    </row>
    <row r="155">
      <c r="A155" s="15" t="n"/>
      <c r="B155" s="9" t="n"/>
      <c r="C155" s="9" t="n"/>
      <c r="D155" s="9" t="n"/>
      <c r="E155" s="16" t="n"/>
      <c r="F155" s="16" t="n"/>
      <c r="G155" s="16" t="n"/>
      <c r="H155" s="17" t="n"/>
      <c r="I155" s="17" t="n"/>
      <c r="J155" s="9" t="n"/>
      <c r="K155" s="13">
        <f>IF(OR(E155="",F155=""),"",ROUND((MOD(F155-E155,1)-N(G155))*24,2))</f>
        <v/>
      </c>
      <c r="L155" s="13">
        <f>IF(OR(H155="",I155=""),"",I155-H155)</f>
        <v/>
      </c>
      <c r="M155" s="13">
        <f>IF(B155="","",IF(J155="Parado - cliente",IFERROR(INDEX(Equipamentos!$D$5:$D$10,MATCH(B155,Equipamentos!$A$5:$A$10,0)),0),IF(OR(J155="Parado - manutenção",J155="Sem serviço"),0,MAX(N(K155),IFERROR(INDEX(Equipamentos!$D$5:$D$10,MATCH(B155,Equipamentos!$A$5:$A$10,0)),0)))))</f>
        <v/>
      </c>
      <c r="N155" s="14">
        <f>IF(B155="","",IFERROR(INDEX(Equipamentos!$C$5:$C$10,MATCH(B155,Equipamentos!$A$5:$A$10,0)),0))</f>
        <v/>
      </c>
      <c r="O155" s="14">
        <f>IF(B155="","",M155*N155)</f>
        <v/>
      </c>
      <c r="P155" s="9" t="n"/>
    </row>
    <row r="156">
      <c r="A156" s="15" t="n"/>
      <c r="B156" s="9" t="n"/>
      <c r="C156" s="9" t="n"/>
      <c r="D156" s="9" t="n"/>
      <c r="E156" s="16" t="n"/>
      <c r="F156" s="16" t="n"/>
      <c r="G156" s="16" t="n"/>
      <c r="H156" s="17" t="n"/>
      <c r="I156" s="17" t="n"/>
      <c r="J156" s="9" t="n"/>
      <c r="K156" s="13">
        <f>IF(OR(E156="",F156=""),"",ROUND((MOD(F156-E156,1)-N(G156))*24,2))</f>
        <v/>
      </c>
      <c r="L156" s="13">
        <f>IF(OR(H156="",I156=""),"",I156-H156)</f>
        <v/>
      </c>
      <c r="M156" s="13">
        <f>IF(B156="","",IF(J156="Parado - cliente",IFERROR(INDEX(Equipamentos!$D$5:$D$10,MATCH(B156,Equipamentos!$A$5:$A$10,0)),0),IF(OR(J156="Parado - manutenção",J156="Sem serviço"),0,MAX(N(K156),IFERROR(INDEX(Equipamentos!$D$5:$D$10,MATCH(B156,Equipamentos!$A$5:$A$10,0)),0)))))</f>
        <v/>
      </c>
      <c r="N156" s="14">
        <f>IF(B156="","",IFERROR(INDEX(Equipamentos!$C$5:$C$10,MATCH(B156,Equipamentos!$A$5:$A$10,0)),0))</f>
        <v/>
      </c>
      <c r="O156" s="14">
        <f>IF(B156="","",M156*N156)</f>
        <v/>
      </c>
      <c r="P156" s="9" t="n"/>
    </row>
    <row r="157">
      <c r="A157" s="15" t="n"/>
      <c r="B157" s="9" t="n"/>
      <c r="C157" s="9" t="n"/>
      <c r="D157" s="9" t="n"/>
      <c r="E157" s="16" t="n"/>
      <c r="F157" s="16" t="n"/>
      <c r="G157" s="16" t="n"/>
      <c r="H157" s="17" t="n"/>
      <c r="I157" s="17" t="n"/>
      <c r="J157" s="9" t="n"/>
      <c r="K157" s="13">
        <f>IF(OR(E157="",F157=""),"",ROUND((MOD(F157-E157,1)-N(G157))*24,2))</f>
        <v/>
      </c>
      <c r="L157" s="13">
        <f>IF(OR(H157="",I157=""),"",I157-H157)</f>
        <v/>
      </c>
      <c r="M157" s="13">
        <f>IF(B157="","",IF(J157="Parado - cliente",IFERROR(INDEX(Equipamentos!$D$5:$D$10,MATCH(B157,Equipamentos!$A$5:$A$10,0)),0),IF(OR(J157="Parado - manutenção",J157="Sem serviço"),0,MAX(N(K157),IFERROR(INDEX(Equipamentos!$D$5:$D$10,MATCH(B157,Equipamentos!$A$5:$A$10,0)),0)))))</f>
        <v/>
      </c>
      <c r="N157" s="14">
        <f>IF(B157="","",IFERROR(INDEX(Equipamentos!$C$5:$C$10,MATCH(B157,Equipamentos!$A$5:$A$10,0)),0))</f>
        <v/>
      </c>
      <c r="O157" s="14">
        <f>IF(B157="","",M157*N157)</f>
        <v/>
      </c>
      <c r="P157" s="9" t="n"/>
    </row>
    <row r="158">
      <c r="A158" s="15" t="n"/>
      <c r="B158" s="9" t="n"/>
      <c r="C158" s="9" t="n"/>
      <c r="D158" s="9" t="n"/>
      <c r="E158" s="16" t="n"/>
      <c r="F158" s="16" t="n"/>
      <c r="G158" s="16" t="n"/>
      <c r="H158" s="17" t="n"/>
      <c r="I158" s="17" t="n"/>
      <c r="J158" s="9" t="n"/>
      <c r="K158" s="13">
        <f>IF(OR(E158="",F158=""),"",ROUND((MOD(F158-E158,1)-N(G158))*24,2))</f>
        <v/>
      </c>
      <c r="L158" s="13">
        <f>IF(OR(H158="",I158=""),"",I158-H158)</f>
        <v/>
      </c>
      <c r="M158" s="13">
        <f>IF(B158="","",IF(J158="Parado - cliente",IFERROR(INDEX(Equipamentos!$D$5:$D$10,MATCH(B158,Equipamentos!$A$5:$A$10,0)),0),IF(OR(J158="Parado - manutenção",J158="Sem serviço"),0,MAX(N(K158),IFERROR(INDEX(Equipamentos!$D$5:$D$10,MATCH(B158,Equipamentos!$A$5:$A$10,0)),0)))))</f>
        <v/>
      </c>
      <c r="N158" s="14">
        <f>IF(B158="","",IFERROR(INDEX(Equipamentos!$C$5:$C$10,MATCH(B158,Equipamentos!$A$5:$A$10,0)),0))</f>
        <v/>
      </c>
      <c r="O158" s="14">
        <f>IF(B158="","",M158*N158)</f>
        <v/>
      </c>
      <c r="P158" s="9" t="n"/>
    </row>
    <row r="159">
      <c r="A159" s="15" t="n"/>
      <c r="B159" s="9" t="n"/>
      <c r="C159" s="9" t="n"/>
      <c r="D159" s="9" t="n"/>
      <c r="E159" s="16" t="n"/>
      <c r="F159" s="16" t="n"/>
      <c r="G159" s="16" t="n"/>
      <c r="H159" s="17" t="n"/>
      <c r="I159" s="17" t="n"/>
      <c r="J159" s="9" t="n"/>
      <c r="K159" s="13">
        <f>IF(OR(E159="",F159=""),"",ROUND((MOD(F159-E159,1)-N(G159))*24,2))</f>
        <v/>
      </c>
      <c r="L159" s="13">
        <f>IF(OR(H159="",I159=""),"",I159-H159)</f>
        <v/>
      </c>
      <c r="M159" s="13">
        <f>IF(B159="","",IF(J159="Parado - cliente",IFERROR(INDEX(Equipamentos!$D$5:$D$10,MATCH(B159,Equipamentos!$A$5:$A$10,0)),0),IF(OR(J159="Parado - manutenção",J159="Sem serviço"),0,MAX(N(K159),IFERROR(INDEX(Equipamentos!$D$5:$D$10,MATCH(B159,Equipamentos!$A$5:$A$10,0)),0)))))</f>
        <v/>
      </c>
      <c r="N159" s="14">
        <f>IF(B159="","",IFERROR(INDEX(Equipamentos!$C$5:$C$10,MATCH(B159,Equipamentos!$A$5:$A$10,0)),0))</f>
        <v/>
      </c>
      <c r="O159" s="14">
        <f>IF(B159="","",M159*N159)</f>
        <v/>
      </c>
      <c r="P159" s="9" t="n"/>
    </row>
    <row r="160">
      <c r="A160" s="15" t="n"/>
      <c r="B160" s="9" t="n"/>
      <c r="C160" s="9" t="n"/>
      <c r="D160" s="9" t="n"/>
      <c r="E160" s="16" t="n"/>
      <c r="F160" s="16" t="n"/>
      <c r="G160" s="16" t="n"/>
      <c r="H160" s="17" t="n"/>
      <c r="I160" s="17" t="n"/>
      <c r="J160" s="9" t="n"/>
      <c r="K160" s="13">
        <f>IF(OR(E160="",F160=""),"",ROUND((MOD(F160-E160,1)-N(G160))*24,2))</f>
        <v/>
      </c>
      <c r="L160" s="13">
        <f>IF(OR(H160="",I160=""),"",I160-H160)</f>
        <v/>
      </c>
      <c r="M160" s="13">
        <f>IF(B160="","",IF(J160="Parado - cliente",IFERROR(INDEX(Equipamentos!$D$5:$D$10,MATCH(B160,Equipamentos!$A$5:$A$10,0)),0),IF(OR(J160="Parado - manutenção",J160="Sem serviço"),0,MAX(N(K160),IFERROR(INDEX(Equipamentos!$D$5:$D$10,MATCH(B160,Equipamentos!$A$5:$A$10,0)),0)))))</f>
        <v/>
      </c>
      <c r="N160" s="14">
        <f>IF(B160="","",IFERROR(INDEX(Equipamentos!$C$5:$C$10,MATCH(B160,Equipamentos!$A$5:$A$10,0)),0))</f>
        <v/>
      </c>
      <c r="O160" s="14">
        <f>IF(B160="","",M160*N160)</f>
        <v/>
      </c>
      <c r="P160" s="9" t="n"/>
    </row>
    <row r="161">
      <c r="A161" s="15" t="n"/>
      <c r="B161" s="9" t="n"/>
      <c r="C161" s="9" t="n"/>
      <c r="D161" s="9" t="n"/>
      <c r="E161" s="16" t="n"/>
      <c r="F161" s="16" t="n"/>
      <c r="G161" s="16" t="n"/>
      <c r="H161" s="17" t="n"/>
      <c r="I161" s="17" t="n"/>
      <c r="J161" s="9" t="n"/>
      <c r="K161" s="13">
        <f>IF(OR(E161="",F161=""),"",ROUND((MOD(F161-E161,1)-N(G161))*24,2))</f>
        <v/>
      </c>
      <c r="L161" s="13">
        <f>IF(OR(H161="",I161=""),"",I161-H161)</f>
        <v/>
      </c>
      <c r="M161" s="13">
        <f>IF(B161="","",IF(J161="Parado - cliente",IFERROR(INDEX(Equipamentos!$D$5:$D$10,MATCH(B161,Equipamentos!$A$5:$A$10,0)),0),IF(OR(J161="Parado - manutenção",J161="Sem serviço"),0,MAX(N(K161),IFERROR(INDEX(Equipamentos!$D$5:$D$10,MATCH(B161,Equipamentos!$A$5:$A$10,0)),0)))))</f>
        <v/>
      </c>
      <c r="N161" s="14">
        <f>IF(B161="","",IFERROR(INDEX(Equipamentos!$C$5:$C$10,MATCH(B161,Equipamentos!$A$5:$A$10,0)),0))</f>
        <v/>
      </c>
      <c r="O161" s="14">
        <f>IF(B161="","",M161*N161)</f>
        <v/>
      </c>
      <c r="P161" s="9" t="n"/>
    </row>
    <row r="162">
      <c r="A162" s="15" t="n"/>
      <c r="B162" s="9" t="n"/>
      <c r="C162" s="9" t="n"/>
      <c r="D162" s="9" t="n"/>
      <c r="E162" s="16" t="n"/>
      <c r="F162" s="16" t="n"/>
      <c r="G162" s="16" t="n"/>
      <c r="H162" s="17" t="n"/>
      <c r="I162" s="17" t="n"/>
      <c r="J162" s="9" t="n"/>
      <c r="K162" s="13">
        <f>IF(OR(E162="",F162=""),"",ROUND((MOD(F162-E162,1)-N(G162))*24,2))</f>
        <v/>
      </c>
      <c r="L162" s="13">
        <f>IF(OR(H162="",I162=""),"",I162-H162)</f>
        <v/>
      </c>
      <c r="M162" s="13">
        <f>IF(B162="","",IF(J162="Parado - cliente",IFERROR(INDEX(Equipamentos!$D$5:$D$10,MATCH(B162,Equipamentos!$A$5:$A$10,0)),0),IF(OR(J162="Parado - manutenção",J162="Sem serviço"),0,MAX(N(K162),IFERROR(INDEX(Equipamentos!$D$5:$D$10,MATCH(B162,Equipamentos!$A$5:$A$10,0)),0)))))</f>
        <v/>
      </c>
      <c r="N162" s="14">
        <f>IF(B162="","",IFERROR(INDEX(Equipamentos!$C$5:$C$10,MATCH(B162,Equipamentos!$A$5:$A$10,0)),0))</f>
        <v/>
      </c>
      <c r="O162" s="14">
        <f>IF(B162="","",M162*N162)</f>
        <v/>
      </c>
      <c r="P162" s="9" t="n"/>
    </row>
    <row r="163">
      <c r="A163" s="15" t="n"/>
      <c r="B163" s="9" t="n"/>
      <c r="C163" s="9" t="n"/>
      <c r="D163" s="9" t="n"/>
      <c r="E163" s="16" t="n"/>
      <c r="F163" s="16" t="n"/>
      <c r="G163" s="16" t="n"/>
      <c r="H163" s="17" t="n"/>
      <c r="I163" s="17" t="n"/>
      <c r="J163" s="9" t="n"/>
      <c r="K163" s="13">
        <f>IF(OR(E163="",F163=""),"",ROUND((MOD(F163-E163,1)-N(G163))*24,2))</f>
        <v/>
      </c>
      <c r="L163" s="13">
        <f>IF(OR(H163="",I163=""),"",I163-H163)</f>
        <v/>
      </c>
      <c r="M163" s="13">
        <f>IF(B163="","",IF(J163="Parado - cliente",IFERROR(INDEX(Equipamentos!$D$5:$D$10,MATCH(B163,Equipamentos!$A$5:$A$10,0)),0),IF(OR(J163="Parado - manutenção",J163="Sem serviço"),0,MAX(N(K163),IFERROR(INDEX(Equipamentos!$D$5:$D$10,MATCH(B163,Equipamentos!$A$5:$A$10,0)),0)))))</f>
        <v/>
      </c>
      <c r="N163" s="14">
        <f>IF(B163="","",IFERROR(INDEX(Equipamentos!$C$5:$C$10,MATCH(B163,Equipamentos!$A$5:$A$10,0)),0))</f>
        <v/>
      </c>
      <c r="O163" s="14">
        <f>IF(B163="","",M163*N163)</f>
        <v/>
      </c>
      <c r="P163" s="9" t="n"/>
    </row>
    <row r="164">
      <c r="A164" s="15" t="n"/>
      <c r="B164" s="9" t="n"/>
      <c r="C164" s="9" t="n"/>
      <c r="D164" s="9" t="n"/>
      <c r="E164" s="16" t="n"/>
      <c r="F164" s="16" t="n"/>
      <c r="G164" s="16" t="n"/>
      <c r="H164" s="17" t="n"/>
      <c r="I164" s="17" t="n"/>
      <c r="J164" s="9" t="n"/>
      <c r="K164" s="13">
        <f>IF(OR(E164="",F164=""),"",ROUND((MOD(F164-E164,1)-N(G164))*24,2))</f>
        <v/>
      </c>
      <c r="L164" s="13">
        <f>IF(OR(H164="",I164=""),"",I164-H164)</f>
        <v/>
      </c>
      <c r="M164" s="13">
        <f>IF(B164="","",IF(J164="Parado - cliente",IFERROR(INDEX(Equipamentos!$D$5:$D$10,MATCH(B164,Equipamentos!$A$5:$A$10,0)),0),IF(OR(J164="Parado - manutenção",J164="Sem serviço"),0,MAX(N(K164),IFERROR(INDEX(Equipamentos!$D$5:$D$10,MATCH(B164,Equipamentos!$A$5:$A$10,0)),0)))))</f>
        <v/>
      </c>
      <c r="N164" s="14">
        <f>IF(B164="","",IFERROR(INDEX(Equipamentos!$C$5:$C$10,MATCH(B164,Equipamentos!$A$5:$A$10,0)),0))</f>
        <v/>
      </c>
      <c r="O164" s="14">
        <f>IF(B164="","",M164*N164)</f>
        <v/>
      </c>
      <c r="P164" s="9" t="n"/>
    </row>
    <row r="165">
      <c r="A165" s="15" t="n"/>
      <c r="B165" s="9" t="n"/>
      <c r="C165" s="9" t="n"/>
      <c r="D165" s="9" t="n"/>
      <c r="E165" s="16" t="n"/>
      <c r="F165" s="16" t="n"/>
      <c r="G165" s="16" t="n"/>
      <c r="H165" s="17" t="n"/>
      <c r="I165" s="17" t="n"/>
      <c r="J165" s="9" t="n"/>
      <c r="K165" s="13">
        <f>IF(OR(E165="",F165=""),"",ROUND((MOD(F165-E165,1)-N(G165))*24,2))</f>
        <v/>
      </c>
      <c r="L165" s="13">
        <f>IF(OR(H165="",I165=""),"",I165-H165)</f>
        <v/>
      </c>
      <c r="M165" s="13">
        <f>IF(B165="","",IF(J165="Parado - cliente",IFERROR(INDEX(Equipamentos!$D$5:$D$10,MATCH(B165,Equipamentos!$A$5:$A$10,0)),0),IF(OR(J165="Parado - manutenção",J165="Sem serviço"),0,MAX(N(K165),IFERROR(INDEX(Equipamentos!$D$5:$D$10,MATCH(B165,Equipamentos!$A$5:$A$10,0)),0)))))</f>
        <v/>
      </c>
      <c r="N165" s="14">
        <f>IF(B165="","",IFERROR(INDEX(Equipamentos!$C$5:$C$10,MATCH(B165,Equipamentos!$A$5:$A$10,0)),0))</f>
        <v/>
      </c>
      <c r="O165" s="14">
        <f>IF(B165="","",M165*N165)</f>
        <v/>
      </c>
      <c r="P165" s="9" t="n"/>
    </row>
    <row r="166">
      <c r="A166" s="15" t="n"/>
      <c r="B166" s="9" t="n"/>
      <c r="C166" s="9" t="n"/>
      <c r="D166" s="9" t="n"/>
      <c r="E166" s="16" t="n"/>
      <c r="F166" s="16" t="n"/>
      <c r="G166" s="16" t="n"/>
      <c r="H166" s="17" t="n"/>
      <c r="I166" s="17" t="n"/>
      <c r="J166" s="9" t="n"/>
      <c r="K166" s="13">
        <f>IF(OR(E166="",F166=""),"",ROUND((MOD(F166-E166,1)-N(G166))*24,2))</f>
        <v/>
      </c>
      <c r="L166" s="13">
        <f>IF(OR(H166="",I166=""),"",I166-H166)</f>
        <v/>
      </c>
      <c r="M166" s="13">
        <f>IF(B166="","",IF(J166="Parado - cliente",IFERROR(INDEX(Equipamentos!$D$5:$D$10,MATCH(B166,Equipamentos!$A$5:$A$10,0)),0),IF(OR(J166="Parado - manutenção",J166="Sem serviço"),0,MAX(N(K166),IFERROR(INDEX(Equipamentos!$D$5:$D$10,MATCH(B166,Equipamentos!$A$5:$A$10,0)),0)))))</f>
        <v/>
      </c>
      <c r="N166" s="14">
        <f>IF(B166="","",IFERROR(INDEX(Equipamentos!$C$5:$C$10,MATCH(B166,Equipamentos!$A$5:$A$10,0)),0))</f>
        <v/>
      </c>
      <c r="O166" s="14">
        <f>IF(B166="","",M166*N166)</f>
        <v/>
      </c>
      <c r="P166" s="9" t="n"/>
    </row>
    <row r="167">
      <c r="A167" s="15" t="n"/>
      <c r="B167" s="9" t="n"/>
      <c r="C167" s="9" t="n"/>
      <c r="D167" s="9" t="n"/>
      <c r="E167" s="16" t="n"/>
      <c r="F167" s="16" t="n"/>
      <c r="G167" s="16" t="n"/>
      <c r="H167" s="17" t="n"/>
      <c r="I167" s="17" t="n"/>
      <c r="J167" s="9" t="n"/>
      <c r="K167" s="13">
        <f>IF(OR(E167="",F167=""),"",ROUND((MOD(F167-E167,1)-N(G167))*24,2))</f>
        <v/>
      </c>
      <c r="L167" s="13">
        <f>IF(OR(H167="",I167=""),"",I167-H167)</f>
        <v/>
      </c>
      <c r="M167" s="13">
        <f>IF(B167="","",IF(J167="Parado - cliente",IFERROR(INDEX(Equipamentos!$D$5:$D$10,MATCH(B167,Equipamentos!$A$5:$A$10,0)),0),IF(OR(J167="Parado - manutenção",J167="Sem serviço"),0,MAX(N(K167),IFERROR(INDEX(Equipamentos!$D$5:$D$10,MATCH(B167,Equipamentos!$A$5:$A$10,0)),0)))))</f>
        <v/>
      </c>
      <c r="N167" s="14">
        <f>IF(B167="","",IFERROR(INDEX(Equipamentos!$C$5:$C$10,MATCH(B167,Equipamentos!$A$5:$A$10,0)),0))</f>
        <v/>
      </c>
      <c r="O167" s="14">
        <f>IF(B167="","",M167*N167)</f>
        <v/>
      </c>
      <c r="P167" s="9" t="n"/>
    </row>
    <row r="168">
      <c r="A168" s="15" t="n"/>
      <c r="B168" s="9" t="n"/>
      <c r="C168" s="9" t="n"/>
      <c r="D168" s="9" t="n"/>
      <c r="E168" s="16" t="n"/>
      <c r="F168" s="16" t="n"/>
      <c r="G168" s="16" t="n"/>
      <c r="H168" s="17" t="n"/>
      <c r="I168" s="17" t="n"/>
      <c r="J168" s="9" t="n"/>
      <c r="K168" s="13">
        <f>IF(OR(E168="",F168=""),"",ROUND((MOD(F168-E168,1)-N(G168))*24,2))</f>
        <v/>
      </c>
      <c r="L168" s="13">
        <f>IF(OR(H168="",I168=""),"",I168-H168)</f>
        <v/>
      </c>
      <c r="M168" s="13">
        <f>IF(B168="","",IF(J168="Parado - cliente",IFERROR(INDEX(Equipamentos!$D$5:$D$10,MATCH(B168,Equipamentos!$A$5:$A$10,0)),0),IF(OR(J168="Parado - manutenção",J168="Sem serviço"),0,MAX(N(K168),IFERROR(INDEX(Equipamentos!$D$5:$D$10,MATCH(B168,Equipamentos!$A$5:$A$10,0)),0)))))</f>
        <v/>
      </c>
      <c r="N168" s="14">
        <f>IF(B168="","",IFERROR(INDEX(Equipamentos!$C$5:$C$10,MATCH(B168,Equipamentos!$A$5:$A$10,0)),0))</f>
        <v/>
      </c>
      <c r="O168" s="14">
        <f>IF(B168="","",M168*N168)</f>
        <v/>
      </c>
      <c r="P168" s="9" t="n"/>
    </row>
    <row r="169">
      <c r="A169" s="15" t="n"/>
      <c r="B169" s="9" t="n"/>
      <c r="C169" s="9" t="n"/>
      <c r="D169" s="9" t="n"/>
      <c r="E169" s="16" t="n"/>
      <c r="F169" s="16" t="n"/>
      <c r="G169" s="16" t="n"/>
      <c r="H169" s="17" t="n"/>
      <c r="I169" s="17" t="n"/>
      <c r="J169" s="9" t="n"/>
      <c r="K169" s="13">
        <f>IF(OR(E169="",F169=""),"",ROUND((MOD(F169-E169,1)-N(G169))*24,2))</f>
        <v/>
      </c>
      <c r="L169" s="13">
        <f>IF(OR(H169="",I169=""),"",I169-H169)</f>
        <v/>
      </c>
      <c r="M169" s="13">
        <f>IF(B169="","",IF(J169="Parado - cliente",IFERROR(INDEX(Equipamentos!$D$5:$D$10,MATCH(B169,Equipamentos!$A$5:$A$10,0)),0),IF(OR(J169="Parado - manutenção",J169="Sem serviço"),0,MAX(N(K169),IFERROR(INDEX(Equipamentos!$D$5:$D$10,MATCH(B169,Equipamentos!$A$5:$A$10,0)),0)))))</f>
        <v/>
      </c>
      <c r="N169" s="14">
        <f>IF(B169="","",IFERROR(INDEX(Equipamentos!$C$5:$C$10,MATCH(B169,Equipamentos!$A$5:$A$10,0)),0))</f>
        <v/>
      </c>
      <c r="O169" s="14">
        <f>IF(B169="","",M169*N169)</f>
        <v/>
      </c>
      <c r="P169" s="9" t="n"/>
    </row>
    <row r="170">
      <c r="A170" s="15" t="n"/>
      <c r="B170" s="9" t="n"/>
      <c r="C170" s="9" t="n"/>
      <c r="D170" s="9" t="n"/>
      <c r="E170" s="16" t="n"/>
      <c r="F170" s="16" t="n"/>
      <c r="G170" s="16" t="n"/>
      <c r="H170" s="17" t="n"/>
      <c r="I170" s="17" t="n"/>
      <c r="J170" s="9" t="n"/>
      <c r="K170" s="13">
        <f>IF(OR(E170="",F170=""),"",ROUND((MOD(F170-E170,1)-N(G170))*24,2))</f>
        <v/>
      </c>
      <c r="L170" s="13">
        <f>IF(OR(H170="",I170=""),"",I170-H170)</f>
        <v/>
      </c>
      <c r="M170" s="13">
        <f>IF(B170="","",IF(J170="Parado - cliente",IFERROR(INDEX(Equipamentos!$D$5:$D$10,MATCH(B170,Equipamentos!$A$5:$A$10,0)),0),IF(OR(J170="Parado - manutenção",J170="Sem serviço"),0,MAX(N(K170),IFERROR(INDEX(Equipamentos!$D$5:$D$10,MATCH(B170,Equipamentos!$A$5:$A$10,0)),0)))))</f>
        <v/>
      </c>
      <c r="N170" s="14">
        <f>IF(B170="","",IFERROR(INDEX(Equipamentos!$C$5:$C$10,MATCH(B170,Equipamentos!$A$5:$A$10,0)),0))</f>
        <v/>
      </c>
      <c r="O170" s="14">
        <f>IF(B170="","",M170*N170)</f>
        <v/>
      </c>
      <c r="P170" s="9" t="n"/>
    </row>
    <row r="171">
      <c r="A171" s="15" t="n"/>
      <c r="B171" s="9" t="n"/>
      <c r="C171" s="9" t="n"/>
      <c r="D171" s="9" t="n"/>
      <c r="E171" s="16" t="n"/>
      <c r="F171" s="16" t="n"/>
      <c r="G171" s="16" t="n"/>
      <c r="H171" s="17" t="n"/>
      <c r="I171" s="17" t="n"/>
      <c r="J171" s="9" t="n"/>
      <c r="K171" s="13">
        <f>IF(OR(E171="",F171=""),"",ROUND((MOD(F171-E171,1)-N(G171))*24,2))</f>
        <v/>
      </c>
      <c r="L171" s="13">
        <f>IF(OR(H171="",I171=""),"",I171-H171)</f>
        <v/>
      </c>
      <c r="M171" s="13">
        <f>IF(B171="","",IF(J171="Parado - cliente",IFERROR(INDEX(Equipamentos!$D$5:$D$10,MATCH(B171,Equipamentos!$A$5:$A$10,0)),0),IF(OR(J171="Parado - manutenção",J171="Sem serviço"),0,MAX(N(K171),IFERROR(INDEX(Equipamentos!$D$5:$D$10,MATCH(B171,Equipamentos!$A$5:$A$10,0)),0)))))</f>
        <v/>
      </c>
      <c r="N171" s="14">
        <f>IF(B171="","",IFERROR(INDEX(Equipamentos!$C$5:$C$10,MATCH(B171,Equipamentos!$A$5:$A$10,0)),0))</f>
        <v/>
      </c>
      <c r="O171" s="14">
        <f>IF(B171="","",M171*N171)</f>
        <v/>
      </c>
      <c r="P171" s="9" t="n"/>
    </row>
    <row r="172">
      <c r="A172" s="15" t="n"/>
      <c r="B172" s="9" t="n"/>
      <c r="C172" s="9" t="n"/>
      <c r="D172" s="9" t="n"/>
      <c r="E172" s="16" t="n"/>
      <c r="F172" s="16" t="n"/>
      <c r="G172" s="16" t="n"/>
      <c r="H172" s="17" t="n"/>
      <c r="I172" s="17" t="n"/>
      <c r="J172" s="9" t="n"/>
      <c r="K172" s="13">
        <f>IF(OR(E172="",F172=""),"",ROUND((MOD(F172-E172,1)-N(G172))*24,2))</f>
        <v/>
      </c>
      <c r="L172" s="13">
        <f>IF(OR(H172="",I172=""),"",I172-H172)</f>
        <v/>
      </c>
      <c r="M172" s="13">
        <f>IF(B172="","",IF(J172="Parado - cliente",IFERROR(INDEX(Equipamentos!$D$5:$D$10,MATCH(B172,Equipamentos!$A$5:$A$10,0)),0),IF(OR(J172="Parado - manutenção",J172="Sem serviço"),0,MAX(N(K172),IFERROR(INDEX(Equipamentos!$D$5:$D$10,MATCH(B172,Equipamentos!$A$5:$A$10,0)),0)))))</f>
        <v/>
      </c>
      <c r="N172" s="14">
        <f>IF(B172="","",IFERROR(INDEX(Equipamentos!$C$5:$C$10,MATCH(B172,Equipamentos!$A$5:$A$10,0)),0))</f>
        <v/>
      </c>
      <c r="O172" s="14">
        <f>IF(B172="","",M172*N172)</f>
        <v/>
      </c>
      <c r="P172" s="9" t="n"/>
    </row>
    <row r="173">
      <c r="A173" s="15" t="n"/>
      <c r="B173" s="9" t="n"/>
      <c r="C173" s="9" t="n"/>
      <c r="D173" s="9" t="n"/>
      <c r="E173" s="16" t="n"/>
      <c r="F173" s="16" t="n"/>
      <c r="G173" s="16" t="n"/>
      <c r="H173" s="17" t="n"/>
      <c r="I173" s="17" t="n"/>
      <c r="J173" s="9" t="n"/>
      <c r="K173" s="13">
        <f>IF(OR(E173="",F173=""),"",ROUND((MOD(F173-E173,1)-N(G173))*24,2))</f>
        <v/>
      </c>
      <c r="L173" s="13">
        <f>IF(OR(H173="",I173=""),"",I173-H173)</f>
        <v/>
      </c>
      <c r="M173" s="13">
        <f>IF(B173="","",IF(J173="Parado - cliente",IFERROR(INDEX(Equipamentos!$D$5:$D$10,MATCH(B173,Equipamentos!$A$5:$A$10,0)),0),IF(OR(J173="Parado - manutenção",J173="Sem serviço"),0,MAX(N(K173),IFERROR(INDEX(Equipamentos!$D$5:$D$10,MATCH(B173,Equipamentos!$A$5:$A$10,0)),0)))))</f>
        <v/>
      </c>
      <c r="N173" s="14">
        <f>IF(B173="","",IFERROR(INDEX(Equipamentos!$C$5:$C$10,MATCH(B173,Equipamentos!$A$5:$A$10,0)),0))</f>
        <v/>
      </c>
      <c r="O173" s="14">
        <f>IF(B173="","",M173*N173)</f>
        <v/>
      </c>
      <c r="P173" s="9" t="n"/>
    </row>
    <row r="174">
      <c r="A174" s="15" t="n"/>
      <c r="B174" s="9" t="n"/>
      <c r="C174" s="9" t="n"/>
      <c r="D174" s="9" t="n"/>
      <c r="E174" s="16" t="n"/>
      <c r="F174" s="16" t="n"/>
      <c r="G174" s="16" t="n"/>
      <c r="H174" s="17" t="n"/>
      <c r="I174" s="17" t="n"/>
      <c r="J174" s="9" t="n"/>
      <c r="K174" s="13">
        <f>IF(OR(E174="",F174=""),"",ROUND((MOD(F174-E174,1)-N(G174))*24,2))</f>
        <v/>
      </c>
      <c r="L174" s="13">
        <f>IF(OR(H174="",I174=""),"",I174-H174)</f>
        <v/>
      </c>
      <c r="M174" s="13">
        <f>IF(B174="","",IF(J174="Parado - cliente",IFERROR(INDEX(Equipamentos!$D$5:$D$10,MATCH(B174,Equipamentos!$A$5:$A$10,0)),0),IF(OR(J174="Parado - manutenção",J174="Sem serviço"),0,MAX(N(K174),IFERROR(INDEX(Equipamentos!$D$5:$D$10,MATCH(B174,Equipamentos!$A$5:$A$10,0)),0)))))</f>
        <v/>
      </c>
      <c r="N174" s="14">
        <f>IF(B174="","",IFERROR(INDEX(Equipamentos!$C$5:$C$10,MATCH(B174,Equipamentos!$A$5:$A$10,0)),0))</f>
        <v/>
      </c>
      <c r="O174" s="14">
        <f>IF(B174="","",M174*N174)</f>
        <v/>
      </c>
      <c r="P174" s="9" t="n"/>
    </row>
    <row r="175">
      <c r="A175" s="15" t="n"/>
      <c r="B175" s="9" t="n"/>
      <c r="C175" s="9" t="n"/>
      <c r="D175" s="9" t="n"/>
      <c r="E175" s="16" t="n"/>
      <c r="F175" s="16" t="n"/>
      <c r="G175" s="16" t="n"/>
      <c r="H175" s="17" t="n"/>
      <c r="I175" s="17" t="n"/>
      <c r="J175" s="9" t="n"/>
      <c r="K175" s="13">
        <f>IF(OR(E175="",F175=""),"",ROUND((MOD(F175-E175,1)-N(G175))*24,2))</f>
        <v/>
      </c>
      <c r="L175" s="13">
        <f>IF(OR(H175="",I175=""),"",I175-H175)</f>
        <v/>
      </c>
      <c r="M175" s="13">
        <f>IF(B175="","",IF(J175="Parado - cliente",IFERROR(INDEX(Equipamentos!$D$5:$D$10,MATCH(B175,Equipamentos!$A$5:$A$10,0)),0),IF(OR(J175="Parado - manutenção",J175="Sem serviço"),0,MAX(N(K175),IFERROR(INDEX(Equipamentos!$D$5:$D$10,MATCH(B175,Equipamentos!$A$5:$A$10,0)),0)))))</f>
        <v/>
      </c>
      <c r="N175" s="14">
        <f>IF(B175="","",IFERROR(INDEX(Equipamentos!$C$5:$C$10,MATCH(B175,Equipamentos!$A$5:$A$10,0)),0))</f>
        <v/>
      </c>
      <c r="O175" s="14">
        <f>IF(B175="","",M175*N175)</f>
        <v/>
      </c>
      <c r="P175" s="9" t="n"/>
    </row>
    <row r="176">
      <c r="A176" s="15" t="n"/>
      <c r="B176" s="9" t="n"/>
      <c r="C176" s="9" t="n"/>
      <c r="D176" s="9" t="n"/>
      <c r="E176" s="16" t="n"/>
      <c r="F176" s="16" t="n"/>
      <c r="G176" s="16" t="n"/>
      <c r="H176" s="17" t="n"/>
      <c r="I176" s="17" t="n"/>
      <c r="J176" s="9" t="n"/>
      <c r="K176" s="13">
        <f>IF(OR(E176="",F176=""),"",ROUND((MOD(F176-E176,1)-N(G176))*24,2))</f>
        <v/>
      </c>
      <c r="L176" s="13">
        <f>IF(OR(H176="",I176=""),"",I176-H176)</f>
        <v/>
      </c>
      <c r="M176" s="13">
        <f>IF(B176="","",IF(J176="Parado - cliente",IFERROR(INDEX(Equipamentos!$D$5:$D$10,MATCH(B176,Equipamentos!$A$5:$A$10,0)),0),IF(OR(J176="Parado - manutenção",J176="Sem serviço"),0,MAX(N(K176),IFERROR(INDEX(Equipamentos!$D$5:$D$10,MATCH(B176,Equipamentos!$A$5:$A$10,0)),0)))))</f>
        <v/>
      </c>
      <c r="N176" s="14">
        <f>IF(B176="","",IFERROR(INDEX(Equipamentos!$C$5:$C$10,MATCH(B176,Equipamentos!$A$5:$A$10,0)),0))</f>
        <v/>
      </c>
      <c r="O176" s="14">
        <f>IF(B176="","",M176*N176)</f>
        <v/>
      </c>
      <c r="P176" s="9" t="n"/>
    </row>
    <row r="177">
      <c r="A177" s="15" t="n"/>
      <c r="B177" s="9" t="n"/>
      <c r="C177" s="9" t="n"/>
      <c r="D177" s="9" t="n"/>
      <c r="E177" s="16" t="n"/>
      <c r="F177" s="16" t="n"/>
      <c r="G177" s="16" t="n"/>
      <c r="H177" s="17" t="n"/>
      <c r="I177" s="17" t="n"/>
      <c r="J177" s="9" t="n"/>
      <c r="K177" s="13">
        <f>IF(OR(E177="",F177=""),"",ROUND((MOD(F177-E177,1)-N(G177))*24,2))</f>
        <v/>
      </c>
      <c r="L177" s="13">
        <f>IF(OR(H177="",I177=""),"",I177-H177)</f>
        <v/>
      </c>
      <c r="M177" s="13">
        <f>IF(B177="","",IF(J177="Parado - cliente",IFERROR(INDEX(Equipamentos!$D$5:$D$10,MATCH(B177,Equipamentos!$A$5:$A$10,0)),0),IF(OR(J177="Parado - manutenção",J177="Sem serviço"),0,MAX(N(K177),IFERROR(INDEX(Equipamentos!$D$5:$D$10,MATCH(B177,Equipamentos!$A$5:$A$10,0)),0)))))</f>
        <v/>
      </c>
      <c r="N177" s="14">
        <f>IF(B177="","",IFERROR(INDEX(Equipamentos!$C$5:$C$10,MATCH(B177,Equipamentos!$A$5:$A$10,0)),0))</f>
        <v/>
      </c>
      <c r="O177" s="14">
        <f>IF(B177="","",M177*N177)</f>
        <v/>
      </c>
      <c r="P177" s="9" t="n"/>
    </row>
    <row r="178">
      <c r="A178" s="15" t="n"/>
      <c r="B178" s="9" t="n"/>
      <c r="C178" s="9" t="n"/>
      <c r="D178" s="9" t="n"/>
      <c r="E178" s="16" t="n"/>
      <c r="F178" s="16" t="n"/>
      <c r="G178" s="16" t="n"/>
      <c r="H178" s="17" t="n"/>
      <c r="I178" s="17" t="n"/>
      <c r="J178" s="9" t="n"/>
      <c r="K178" s="13">
        <f>IF(OR(E178="",F178=""),"",ROUND((MOD(F178-E178,1)-N(G178))*24,2))</f>
        <v/>
      </c>
      <c r="L178" s="13">
        <f>IF(OR(H178="",I178=""),"",I178-H178)</f>
        <v/>
      </c>
      <c r="M178" s="13">
        <f>IF(B178="","",IF(J178="Parado - cliente",IFERROR(INDEX(Equipamentos!$D$5:$D$10,MATCH(B178,Equipamentos!$A$5:$A$10,0)),0),IF(OR(J178="Parado - manutenção",J178="Sem serviço"),0,MAX(N(K178),IFERROR(INDEX(Equipamentos!$D$5:$D$10,MATCH(B178,Equipamentos!$A$5:$A$10,0)),0)))))</f>
        <v/>
      </c>
      <c r="N178" s="14">
        <f>IF(B178="","",IFERROR(INDEX(Equipamentos!$C$5:$C$10,MATCH(B178,Equipamentos!$A$5:$A$10,0)),0))</f>
        <v/>
      </c>
      <c r="O178" s="14">
        <f>IF(B178="","",M178*N178)</f>
        <v/>
      </c>
      <c r="P178" s="9" t="n"/>
    </row>
    <row r="179">
      <c r="A179" s="15" t="n"/>
      <c r="B179" s="9" t="n"/>
      <c r="C179" s="9" t="n"/>
      <c r="D179" s="9" t="n"/>
      <c r="E179" s="16" t="n"/>
      <c r="F179" s="16" t="n"/>
      <c r="G179" s="16" t="n"/>
      <c r="H179" s="17" t="n"/>
      <c r="I179" s="17" t="n"/>
      <c r="J179" s="9" t="n"/>
      <c r="K179" s="13">
        <f>IF(OR(E179="",F179=""),"",ROUND((MOD(F179-E179,1)-N(G179))*24,2))</f>
        <v/>
      </c>
      <c r="L179" s="13">
        <f>IF(OR(H179="",I179=""),"",I179-H179)</f>
        <v/>
      </c>
      <c r="M179" s="13">
        <f>IF(B179="","",IF(J179="Parado - cliente",IFERROR(INDEX(Equipamentos!$D$5:$D$10,MATCH(B179,Equipamentos!$A$5:$A$10,0)),0),IF(OR(J179="Parado - manutenção",J179="Sem serviço"),0,MAX(N(K179),IFERROR(INDEX(Equipamentos!$D$5:$D$10,MATCH(B179,Equipamentos!$A$5:$A$10,0)),0)))))</f>
        <v/>
      </c>
      <c r="N179" s="14">
        <f>IF(B179="","",IFERROR(INDEX(Equipamentos!$C$5:$C$10,MATCH(B179,Equipamentos!$A$5:$A$10,0)),0))</f>
        <v/>
      </c>
      <c r="O179" s="14">
        <f>IF(B179="","",M179*N179)</f>
        <v/>
      </c>
      <c r="P179" s="9" t="n"/>
    </row>
    <row r="180">
      <c r="A180" s="15" t="n"/>
      <c r="B180" s="9" t="n"/>
      <c r="C180" s="9" t="n"/>
      <c r="D180" s="9" t="n"/>
      <c r="E180" s="16" t="n"/>
      <c r="F180" s="16" t="n"/>
      <c r="G180" s="16" t="n"/>
      <c r="H180" s="17" t="n"/>
      <c r="I180" s="17" t="n"/>
      <c r="J180" s="9" t="n"/>
      <c r="K180" s="13">
        <f>IF(OR(E180="",F180=""),"",ROUND((MOD(F180-E180,1)-N(G180))*24,2))</f>
        <v/>
      </c>
      <c r="L180" s="13">
        <f>IF(OR(H180="",I180=""),"",I180-H180)</f>
        <v/>
      </c>
      <c r="M180" s="13">
        <f>IF(B180="","",IF(J180="Parado - cliente",IFERROR(INDEX(Equipamentos!$D$5:$D$10,MATCH(B180,Equipamentos!$A$5:$A$10,0)),0),IF(OR(J180="Parado - manutenção",J180="Sem serviço"),0,MAX(N(K180),IFERROR(INDEX(Equipamentos!$D$5:$D$10,MATCH(B180,Equipamentos!$A$5:$A$10,0)),0)))))</f>
        <v/>
      </c>
      <c r="N180" s="14">
        <f>IF(B180="","",IFERROR(INDEX(Equipamentos!$C$5:$C$10,MATCH(B180,Equipamentos!$A$5:$A$10,0)),0))</f>
        <v/>
      </c>
      <c r="O180" s="14">
        <f>IF(B180="","",M180*N180)</f>
        <v/>
      </c>
      <c r="P180" s="9" t="n"/>
    </row>
    <row r="181">
      <c r="A181" s="15" t="n"/>
      <c r="B181" s="9" t="n"/>
      <c r="C181" s="9" t="n"/>
      <c r="D181" s="9" t="n"/>
      <c r="E181" s="16" t="n"/>
      <c r="F181" s="16" t="n"/>
      <c r="G181" s="16" t="n"/>
      <c r="H181" s="17" t="n"/>
      <c r="I181" s="17" t="n"/>
      <c r="J181" s="9" t="n"/>
      <c r="K181" s="13">
        <f>IF(OR(E181="",F181=""),"",ROUND((MOD(F181-E181,1)-N(G181))*24,2))</f>
        <v/>
      </c>
      <c r="L181" s="13">
        <f>IF(OR(H181="",I181=""),"",I181-H181)</f>
        <v/>
      </c>
      <c r="M181" s="13">
        <f>IF(B181="","",IF(J181="Parado - cliente",IFERROR(INDEX(Equipamentos!$D$5:$D$10,MATCH(B181,Equipamentos!$A$5:$A$10,0)),0),IF(OR(J181="Parado - manutenção",J181="Sem serviço"),0,MAX(N(K181),IFERROR(INDEX(Equipamentos!$D$5:$D$10,MATCH(B181,Equipamentos!$A$5:$A$10,0)),0)))))</f>
        <v/>
      </c>
      <c r="N181" s="14">
        <f>IF(B181="","",IFERROR(INDEX(Equipamentos!$C$5:$C$10,MATCH(B181,Equipamentos!$A$5:$A$10,0)),0))</f>
        <v/>
      </c>
      <c r="O181" s="14">
        <f>IF(B181="","",M181*N181)</f>
        <v/>
      </c>
      <c r="P181" s="9" t="n"/>
    </row>
    <row r="182">
      <c r="A182" s="15" t="n"/>
      <c r="B182" s="9" t="n"/>
      <c r="C182" s="9" t="n"/>
      <c r="D182" s="9" t="n"/>
      <c r="E182" s="16" t="n"/>
      <c r="F182" s="16" t="n"/>
      <c r="G182" s="16" t="n"/>
      <c r="H182" s="17" t="n"/>
      <c r="I182" s="17" t="n"/>
      <c r="J182" s="9" t="n"/>
      <c r="K182" s="13">
        <f>IF(OR(E182="",F182=""),"",ROUND((MOD(F182-E182,1)-N(G182))*24,2))</f>
        <v/>
      </c>
      <c r="L182" s="13">
        <f>IF(OR(H182="",I182=""),"",I182-H182)</f>
        <v/>
      </c>
      <c r="M182" s="13">
        <f>IF(B182="","",IF(J182="Parado - cliente",IFERROR(INDEX(Equipamentos!$D$5:$D$10,MATCH(B182,Equipamentos!$A$5:$A$10,0)),0),IF(OR(J182="Parado - manutenção",J182="Sem serviço"),0,MAX(N(K182),IFERROR(INDEX(Equipamentos!$D$5:$D$10,MATCH(B182,Equipamentos!$A$5:$A$10,0)),0)))))</f>
        <v/>
      </c>
      <c r="N182" s="14">
        <f>IF(B182="","",IFERROR(INDEX(Equipamentos!$C$5:$C$10,MATCH(B182,Equipamentos!$A$5:$A$10,0)),0))</f>
        <v/>
      </c>
      <c r="O182" s="14">
        <f>IF(B182="","",M182*N182)</f>
        <v/>
      </c>
      <c r="P182" s="9" t="n"/>
    </row>
    <row r="183">
      <c r="A183" s="15" t="n"/>
      <c r="B183" s="9" t="n"/>
      <c r="C183" s="9" t="n"/>
      <c r="D183" s="9" t="n"/>
      <c r="E183" s="16" t="n"/>
      <c r="F183" s="16" t="n"/>
      <c r="G183" s="16" t="n"/>
      <c r="H183" s="17" t="n"/>
      <c r="I183" s="17" t="n"/>
      <c r="J183" s="9" t="n"/>
      <c r="K183" s="13">
        <f>IF(OR(E183="",F183=""),"",ROUND((MOD(F183-E183,1)-N(G183))*24,2))</f>
        <v/>
      </c>
      <c r="L183" s="13">
        <f>IF(OR(H183="",I183=""),"",I183-H183)</f>
        <v/>
      </c>
      <c r="M183" s="13">
        <f>IF(B183="","",IF(J183="Parado - cliente",IFERROR(INDEX(Equipamentos!$D$5:$D$10,MATCH(B183,Equipamentos!$A$5:$A$10,0)),0),IF(OR(J183="Parado - manutenção",J183="Sem serviço"),0,MAX(N(K183),IFERROR(INDEX(Equipamentos!$D$5:$D$10,MATCH(B183,Equipamentos!$A$5:$A$10,0)),0)))))</f>
        <v/>
      </c>
      <c r="N183" s="14">
        <f>IF(B183="","",IFERROR(INDEX(Equipamentos!$C$5:$C$10,MATCH(B183,Equipamentos!$A$5:$A$10,0)),0))</f>
        <v/>
      </c>
      <c r="O183" s="14">
        <f>IF(B183="","",M183*N183)</f>
        <v/>
      </c>
      <c r="P183" s="9" t="n"/>
    </row>
    <row r="184">
      <c r="A184" s="15" t="n"/>
      <c r="B184" s="9" t="n"/>
      <c r="C184" s="9" t="n"/>
      <c r="D184" s="9" t="n"/>
      <c r="E184" s="16" t="n"/>
      <c r="F184" s="16" t="n"/>
      <c r="G184" s="16" t="n"/>
      <c r="H184" s="17" t="n"/>
      <c r="I184" s="17" t="n"/>
      <c r="J184" s="9" t="n"/>
      <c r="K184" s="13">
        <f>IF(OR(E184="",F184=""),"",ROUND((MOD(F184-E184,1)-N(G184))*24,2))</f>
        <v/>
      </c>
      <c r="L184" s="13">
        <f>IF(OR(H184="",I184=""),"",I184-H184)</f>
        <v/>
      </c>
      <c r="M184" s="13">
        <f>IF(B184="","",IF(J184="Parado - cliente",IFERROR(INDEX(Equipamentos!$D$5:$D$10,MATCH(B184,Equipamentos!$A$5:$A$10,0)),0),IF(OR(J184="Parado - manutenção",J184="Sem serviço"),0,MAX(N(K184),IFERROR(INDEX(Equipamentos!$D$5:$D$10,MATCH(B184,Equipamentos!$A$5:$A$10,0)),0)))))</f>
        <v/>
      </c>
      <c r="N184" s="14">
        <f>IF(B184="","",IFERROR(INDEX(Equipamentos!$C$5:$C$10,MATCH(B184,Equipamentos!$A$5:$A$10,0)),0))</f>
        <v/>
      </c>
      <c r="O184" s="14">
        <f>IF(B184="","",M184*N184)</f>
        <v/>
      </c>
      <c r="P184" s="9" t="n"/>
    </row>
    <row r="185">
      <c r="A185" s="15" t="n"/>
      <c r="B185" s="9" t="n"/>
      <c r="C185" s="9" t="n"/>
      <c r="D185" s="9" t="n"/>
      <c r="E185" s="16" t="n"/>
      <c r="F185" s="16" t="n"/>
      <c r="G185" s="16" t="n"/>
      <c r="H185" s="17" t="n"/>
      <c r="I185" s="17" t="n"/>
      <c r="J185" s="9" t="n"/>
      <c r="K185" s="13">
        <f>IF(OR(E185="",F185=""),"",ROUND((MOD(F185-E185,1)-N(G185))*24,2))</f>
        <v/>
      </c>
      <c r="L185" s="13">
        <f>IF(OR(H185="",I185=""),"",I185-H185)</f>
        <v/>
      </c>
      <c r="M185" s="13">
        <f>IF(B185="","",IF(J185="Parado - cliente",IFERROR(INDEX(Equipamentos!$D$5:$D$10,MATCH(B185,Equipamentos!$A$5:$A$10,0)),0),IF(OR(J185="Parado - manutenção",J185="Sem serviço"),0,MAX(N(K185),IFERROR(INDEX(Equipamentos!$D$5:$D$10,MATCH(B185,Equipamentos!$A$5:$A$10,0)),0)))))</f>
        <v/>
      </c>
      <c r="N185" s="14">
        <f>IF(B185="","",IFERROR(INDEX(Equipamentos!$C$5:$C$10,MATCH(B185,Equipamentos!$A$5:$A$10,0)),0))</f>
        <v/>
      </c>
      <c r="O185" s="14">
        <f>IF(B185="","",M185*N185)</f>
        <v/>
      </c>
      <c r="P185" s="9" t="n"/>
    </row>
    <row r="186">
      <c r="A186" s="15" t="n"/>
      <c r="B186" s="9" t="n"/>
      <c r="C186" s="9" t="n"/>
      <c r="D186" s="9" t="n"/>
      <c r="E186" s="16" t="n"/>
      <c r="F186" s="16" t="n"/>
      <c r="G186" s="16" t="n"/>
      <c r="H186" s="17" t="n"/>
      <c r="I186" s="17" t="n"/>
      <c r="J186" s="9" t="n"/>
      <c r="K186" s="13">
        <f>IF(OR(E186="",F186=""),"",ROUND((MOD(F186-E186,1)-N(G186))*24,2))</f>
        <v/>
      </c>
      <c r="L186" s="13">
        <f>IF(OR(H186="",I186=""),"",I186-H186)</f>
        <v/>
      </c>
      <c r="M186" s="13">
        <f>IF(B186="","",IF(J186="Parado - cliente",IFERROR(INDEX(Equipamentos!$D$5:$D$10,MATCH(B186,Equipamentos!$A$5:$A$10,0)),0),IF(OR(J186="Parado - manutenção",J186="Sem serviço"),0,MAX(N(K186),IFERROR(INDEX(Equipamentos!$D$5:$D$10,MATCH(B186,Equipamentos!$A$5:$A$10,0)),0)))))</f>
        <v/>
      </c>
      <c r="N186" s="14">
        <f>IF(B186="","",IFERROR(INDEX(Equipamentos!$C$5:$C$10,MATCH(B186,Equipamentos!$A$5:$A$10,0)),0))</f>
        <v/>
      </c>
      <c r="O186" s="14">
        <f>IF(B186="","",M186*N186)</f>
        <v/>
      </c>
      <c r="P186" s="9" t="n"/>
    </row>
    <row r="187">
      <c r="A187" s="15" t="n"/>
      <c r="B187" s="9" t="n"/>
      <c r="C187" s="9" t="n"/>
      <c r="D187" s="9" t="n"/>
      <c r="E187" s="16" t="n"/>
      <c r="F187" s="16" t="n"/>
      <c r="G187" s="16" t="n"/>
      <c r="H187" s="17" t="n"/>
      <c r="I187" s="17" t="n"/>
      <c r="J187" s="9" t="n"/>
      <c r="K187" s="13">
        <f>IF(OR(E187="",F187=""),"",ROUND((MOD(F187-E187,1)-N(G187))*24,2))</f>
        <v/>
      </c>
      <c r="L187" s="13">
        <f>IF(OR(H187="",I187=""),"",I187-H187)</f>
        <v/>
      </c>
      <c r="M187" s="13">
        <f>IF(B187="","",IF(J187="Parado - cliente",IFERROR(INDEX(Equipamentos!$D$5:$D$10,MATCH(B187,Equipamentos!$A$5:$A$10,0)),0),IF(OR(J187="Parado - manutenção",J187="Sem serviço"),0,MAX(N(K187),IFERROR(INDEX(Equipamentos!$D$5:$D$10,MATCH(B187,Equipamentos!$A$5:$A$10,0)),0)))))</f>
        <v/>
      </c>
      <c r="N187" s="14">
        <f>IF(B187="","",IFERROR(INDEX(Equipamentos!$C$5:$C$10,MATCH(B187,Equipamentos!$A$5:$A$10,0)),0))</f>
        <v/>
      </c>
      <c r="O187" s="14">
        <f>IF(B187="","",M187*N187)</f>
        <v/>
      </c>
      <c r="P187" s="9" t="n"/>
    </row>
    <row r="188">
      <c r="A188" s="15" t="n"/>
      <c r="B188" s="9" t="n"/>
      <c r="C188" s="9" t="n"/>
      <c r="D188" s="9" t="n"/>
      <c r="E188" s="16" t="n"/>
      <c r="F188" s="16" t="n"/>
      <c r="G188" s="16" t="n"/>
      <c r="H188" s="17" t="n"/>
      <c r="I188" s="17" t="n"/>
      <c r="J188" s="9" t="n"/>
      <c r="K188" s="13">
        <f>IF(OR(E188="",F188=""),"",ROUND((MOD(F188-E188,1)-N(G188))*24,2))</f>
        <v/>
      </c>
      <c r="L188" s="13">
        <f>IF(OR(H188="",I188=""),"",I188-H188)</f>
        <v/>
      </c>
      <c r="M188" s="13">
        <f>IF(B188="","",IF(J188="Parado - cliente",IFERROR(INDEX(Equipamentos!$D$5:$D$10,MATCH(B188,Equipamentos!$A$5:$A$10,0)),0),IF(OR(J188="Parado - manutenção",J188="Sem serviço"),0,MAX(N(K188),IFERROR(INDEX(Equipamentos!$D$5:$D$10,MATCH(B188,Equipamentos!$A$5:$A$10,0)),0)))))</f>
        <v/>
      </c>
      <c r="N188" s="14">
        <f>IF(B188="","",IFERROR(INDEX(Equipamentos!$C$5:$C$10,MATCH(B188,Equipamentos!$A$5:$A$10,0)),0))</f>
        <v/>
      </c>
      <c r="O188" s="14">
        <f>IF(B188="","",M188*N188)</f>
        <v/>
      </c>
      <c r="P188" s="9" t="n"/>
    </row>
    <row r="189">
      <c r="A189" s="15" t="n"/>
      <c r="B189" s="9" t="n"/>
      <c r="C189" s="9" t="n"/>
      <c r="D189" s="9" t="n"/>
      <c r="E189" s="16" t="n"/>
      <c r="F189" s="16" t="n"/>
      <c r="G189" s="16" t="n"/>
      <c r="H189" s="17" t="n"/>
      <c r="I189" s="17" t="n"/>
      <c r="J189" s="9" t="n"/>
      <c r="K189" s="13">
        <f>IF(OR(E189="",F189=""),"",ROUND((MOD(F189-E189,1)-N(G189))*24,2))</f>
        <v/>
      </c>
      <c r="L189" s="13">
        <f>IF(OR(H189="",I189=""),"",I189-H189)</f>
        <v/>
      </c>
      <c r="M189" s="13">
        <f>IF(B189="","",IF(J189="Parado - cliente",IFERROR(INDEX(Equipamentos!$D$5:$D$10,MATCH(B189,Equipamentos!$A$5:$A$10,0)),0),IF(OR(J189="Parado - manutenção",J189="Sem serviço"),0,MAX(N(K189),IFERROR(INDEX(Equipamentos!$D$5:$D$10,MATCH(B189,Equipamentos!$A$5:$A$10,0)),0)))))</f>
        <v/>
      </c>
      <c r="N189" s="14">
        <f>IF(B189="","",IFERROR(INDEX(Equipamentos!$C$5:$C$10,MATCH(B189,Equipamentos!$A$5:$A$10,0)),0))</f>
        <v/>
      </c>
      <c r="O189" s="14">
        <f>IF(B189="","",M189*N189)</f>
        <v/>
      </c>
      <c r="P189" s="9" t="n"/>
    </row>
    <row r="190">
      <c r="A190" s="15" t="n"/>
      <c r="B190" s="9" t="n"/>
      <c r="C190" s="9" t="n"/>
      <c r="D190" s="9" t="n"/>
      <c r="E190" s="16" t="n"/>
      <c r="F190" s="16" t="n"/>
      <c r="G190" s="16" t="n"/>
      <c r="H190" s="17" t="n"/>
      <c r="I190" s="17" t="n"/>
      <c r="J190" s="9" t="n"/>
      <c r="K190" s="13">
        <f>IF(OR(E190="",F190=""),"",ROUND((MOD(F190-E190,1)-N(G190))*24,2))</f>
        <v/>
      </c>
      <c r="L190" s="13">
        <f>IF(OR(H190="",I190=""),"",I190-H190)</f>
        <v/>
      </c>
      <c r="M190" s="13">
        <f>IF(B190="","",IF(J190="Parado - cliente",IFERROR(INDEX(Equipamentos!$D$5:$D$10,MATCH(B190,Equipamentos!$A$5:$A$10,0)),0),IF(OR(J190="Parado - manutenção",J190="Sem serviço"),0,MAX(N(K190),IFERROR(INDEX(Equipamentos!$D$5:$D$10,MATCH(B190,Equipamentos!$A$5:$A$10,0)),0)))))</f>
        <v/>
      </c>
      <c r="N190" s="14">
        <f>IF(B190="","",IFERROR(INDEX(Equipamentos!$C$5:$C$10,MATCH(B190,Equipamentos!$A$5:$A$10,0)),0))</f>
        <v/>
      </c>
      <c r="O190" s="14">
        <f>IF(B190="","",M190*N190)</f>
        <v/>
      </c>
      <c r="P190" s="9" t="n"/>
    </row>
    <row r="191">
      <c r="A191" s="15" t="n"/>
      <c r="B191" s="9" t="n"/>
      <c r="C191" s="9" t="n"/>
      <c r="D191" s="9" t="n"/>
      <c r="E191" s="16" t="n"/>
      <c r="F191" s="16" t="n"/>
      <c r="G191" s="16" t="n"/>
      <c r="H191" s="17" t="n"/>
      <c r="I191" s="17" t="n"/>
      <c r="J191" s="9" t="n"/>
      <c r="K191" s="13">
        <f>IF(OR(E191="",F191=""),"",ROUND((MOD(F191-E191,1)-N(G191))*24,2))</f>
        <v/>
      </c>
      <c r="L191" s="13">
        <f>IF(OR(H191="",I191=""),"",I191-H191)</f>
        <v/>
      </c>
      <c r="M191" s="13">
        <f>IF(B191="","",IF(J191="Parado - cliente",IFERROR(INDEX(Equipamentos!$D$5:$D$10,MATCH(B191,Equipamentos!$A$5:$A$10,0)),0),IF(OR(J191="Parado - manutenção",J191="Sem serviço"),0,MAX(N(K191),IFERROR(INDEX(Equipamentos!$D$5:$D$10,MATCH(B191,Equipamentos!$A$5:$A$10,0)),0)))))</f>
        <v/>
      </c>
      <c r="N191" s="14">
        <f>IF(B191="","",IFERROR(INDEX(Equipamentos!$C$5:$C$10,MATCH(B191,Equipamentos!$A$5:$A$10,0)),0))</f>
        <v/>
      </c>
      <c r="O191" s="14">
        <f>IF(B191="","",M191*N191)</f>
        <v/>
      </c>
      <c r="P191" s="9" t="n"/>
    </row>
    <row r="192">
      <c r="A192" s="15" t="n"/>
      <c r="B192" s="9" t="n"/>
      <c r="C192" s="9" t="n"/>
      <c r="D192" s="9" t="n"/>
      <c r="E192" s="16" t="n"/>
      <c r="F192" s="16" t="n"/>
      <c r="G192" s="16" t="n"/>
      <c r="H192" s="17" t="n"/>
      <c r="I192" s="17" t="n"/>
      <c r="J192" s="9" t="n"/>
      <c r="K192" s="13">
        <f>IF(OR(E192="",F192=""),"",ROUND((MOD(F192-E192,1)-N(G192))*24,2))</f>
        <v/>
      </c>
      <c r="L192" s="13">
        <f>IF(OR(H192="",I192=""),"",I192-H192)</f>
        <v/>
      </c>
      <c r="M192" s="13">
        <f>IF(B192="","",IF(J192="Parado - cliente",IFERROR(INDEX(Equipamentos!$D$5:$D$10,MATCH(B192,Equipamentos!$A$5:$A$10,0)),0),IF(OR(J192="Parado - manutenção",J192="Sem serviço"),0,MAX(N(K192),IFERROR(INDEX(Equipamentos!$D$5:$D$10,MATCH(B192,Equipamentos!$A$5:$A$10,0)),0)))))</f>
        <v/>
      </c>
      <c r="N192" s="14">
        <f>IF(B192="","",IFERROR(INDEX(Equipamentos!$C$5:$C$10,MATCH(B192,Equipamentos!$A$5:$A$10,0)),0))</f>
        <v/>
      </c>
      <c r="O192" s="14">
        <f>IF(B192="","",M192*N192)</f>
        <v/>
      </c>
      <c r="P192" s="9" t="n"/>
    </row>
    <row r="193">
      <c r="A193" s="15" t="n"/>
      <c r="B193" s="9" t="n"/>
      <c r="C193" s="9" t="n"/>
      <c r="D193" s="9" t="n"/>
      <c r="E193" s="16" t="n"/>
      <c r="F193" s="16" t="n"/>
      <c r="G193" s="16" t="n"/>
      <c r="H193" s="17" t="n"/>
      <c r="I193" s="17" t="n"/>
      <c r="J193" s="9" t="n"/>
      <c r="K193" s="13">
        <f>IF(OR(E193="",F193=""),"",ROUND((MOD(F193-E193,1)-N(G193))*24,2))</f>
        <v/>
      </c>
      <c r="L193" s="13">
        <f>IF(OR(H193="",I193=""),"",I193-H193)</f>
        <v/>
      </c>
      <c r="M193" s="13">
        <f>IF(B193="","",IF(J193="Parado - cliente",IFERROR(INDEX(Equipamentos!$D$5:$D$10,MATCH(B193,Equipamentos!$A$5:$A$10,0)),0),IF(OR(J193="Parado - manutenção",J193="Sem serviço"),0,MAX(N(K193),IFERROR(INDEX(Equipamentos!$D$5:$D$10,MATCH(B193,Equipamentos!$A$5:$A$10,0)),0)))))</f>
        <v/>
      </c>
      <c r="N193" s="14">
        <f>IF(B193="","",IFERROR(INDEX(Equipamentos!$C$5:$C$10,MATCH(B193,Equipamentos!$A$5:$A$10,0)),0))</f>
        <v/>
      </c>
      <c r="O193" s="14">
        <f>IF(B193="","",M193*N193)</f>
        <v/>
      </c>
      <c r="P193" s="9" t="n"/>
    </row>
    <row r="194">
      <c r="A194" s="15" t="n"/>
      <c r="B194" s="9" t="n"/>
      <c r="C194" s="9" t="n"/>
      <c r="D194" s="9" t="n"/>
      <c r="E194" s="16" t="n"/>
      <c r="F194" s="16" t="n"/>
      <c r="G194" s="16" t="n"/>
      <c r="H194" s="17" t="n"/>
      <c r="I194" s="17" t="n"/>
      <c r="J194" s="9" t="n"/>
      <c r="K194" s="13">
        <f>IF(OR(E194="",F194=""),"",ROUND((MOD(F194-E194,1)-N(G194))*24,2))</f>
        <v/>
      </c>
      <c r="L194" s="13">
        <f>IF(OR(H194="",I194=""),"",I194-H194)</f>
        <v/>
      </c>
      <c r="M194" s="13">
        <f>IF(B194="","",IF(J194="Parado - cliente",IFERROR(INDEX(Equipamentos!$D$5:$D$10,MATCH(B194,Equipamentos!$A$5:$A$10,0)),0),IF(OR(J194="Parado - manutenção",J194="Sem serviço"),0,MAX(N(K194),IFERROR(INDEX(Equipamentos!$D$5:$D$10,MATCH(B194,Equipamentos!$A$5:$A$10,0)),0)))))</f>
        <v/>
      </c>
      <c r="N194" s="14">
        <f>IF(B194="","",IFERROR(INDEX(Equipamentos!$C$5:$C$10,MATCH(B194,Equipamentos!$A$5:$A$10,0)),0))</f>
        <v/>
      </c>
      <c r="O194" s="14">
        <f>IF(B194="","",M194*N194)</f>
        <v/>
      </c>
      <c r="P194" s="9" t="n"/>
    </row>
    <row r="195">
      <c r="A195" s="15" t="n"/>
      <c r="B195" s="9" t="n"/>
      <c r="C195" s="9" t="n"/>
      <c r="D195" s="9" t="n"/>
      <c r="E195" s="16" t="n"/>
      <c r="F195" s="16" t="n"/>
      <c r="G195" s="16" t="n"/>
      <c r="H195" s="17" t="n"/>
      <c r="I195" s="17" t="n"/>
      <c r="J195" s="9" t="n"/>
      <c r="K195" s="13">
        <f>IF(OR(E195="",F195=""),"",ROUND((MOD(F195-E195,1)-N(G195))*24,2))</f>
        <v/>
      </c>
      <c r="L195" s="13">
        <f>IF(OR(H195="",I195=""),"",I195-H195)</f>
        <v/>
      </c>
      <c r="M195" s="13">
        <f>IF(B195="","",IF(J195="Parado - cliente",IFERROR(INDEX(Equipamentos!$D$5:$D$10,MATCH(B195,Equipamentos!$A$5:$A$10,0)),0),IF(OR(J195="Parado - manutenção",J195="Sem serviço"),0,MAX(N(K195),IFERROR(INDEX(Equipamentos!$D$5:$D$10,MATCH(B195,Equipamentos!$A$5:$A$10,0)),0)))))</f>
        <v/>
      </c>
      <c r="N195" s="14">
        <f>IF(B195="","",IFERROR(INDEX(Equipamentos!$C$5:$C$10,MATCH(B195,Equipamentos!$A$5:$A$10,0)),0))</f>
        <v/>
      </c>
      <c r="O195" s="14">
        <f>IF(B195="","",M195*N195)</f>
        <v/>
      </c>
      <c r="P195" s="9" t="n"/>
    </row>
    <row r="196">
      <c r="A196" s="15" t="n"/>
      <c r="B196" s="9" t="n"/>
      <c r="C196" s="9" t="n"/>
      <c r="D196" s="9" t="n"/>
      <c r="E196" s="16" t="n"/>
      <c r="F196" s="16" t="n"/>
      <c r="G196" s="16" t="n"/>
      <c r="H196" s="17" t="n"/>
      <c r="I196" s="17" t="n"/>
      <c r="J196" s="9" t="n"/>
      <c r="K196" s="13">
        <f>IF(OR(E196="",F196=""),"",ROUND((MOD(F196-E196,1)-N(G196))*24,2))</f>
        <v/>
      </c>
      <c r="L196" s="13">
        <f>IF(OR(H196="",I196=""),"",I196-H196)</f>
        <v/>
      </c>
      <c r="M196" s="13">
        <f>IF(B196="","",IF(J196="Parado - cliente",IFERROR(INDEX(Equipamentos!$D$5:$D$10,MATCH(B196,Equipamentos!$A$5:$A$10,0)),0),IF(OR(J196="Parado - manutenção",J196="Sem serviço"),0,MAX(N(K196),IFERROR(INDEX(Equipamentos!$D$5:$D$10,MATCH(B196,Equipamentos!$A$5:$A$10,0)),0)))))</f>
        <v/>
      </c>
      <c r="N196" s="14">
        <f>IF(B196="","",IFERROR(INDEX(Equipamentos!$C$5:$C$10,MATCH(B196,Equipamentos!$A$5:$A$10,0)),0))</f>
        <v/>
      </c>
      <c r="O196" s="14">
        <f>IF(B196="","",M196*N196)</f>
        <v/>
      </c>
      <c r="P196" s="9" t="n"/>
    </row>
    <row r="197">
      <c r="A197" s="15" t="n"/>
      <c r="B197" s="9" t="n"/>
      <c r="C197" s="9" t="n"/>
      <c r="D197" s="9" t="n"/>
      <c r="E197" s="16" t="n"/>
      <c r="F197" s="16" t="n"/>
      <c r="G197" s="16" t="n"/>
      <c r="H197" s="17" t="n"/>
      <c r="I197" s="17" t="n"/>
      <c r="J197" s="9" t="n"/>
      <c r="K197" s="13">
        <f>IF(OR(E197="",F197=""),"",ROUND((MOD(F197-E197,1)-N(G197))*24,2))</f>
        <v/>
      </c>
      <c r="L197" s="13">
        <f>IF(OR(H197="",I197=""),"",I197-H197)</f>
        <v/>
      </c>
      <c r="M197" s="13">
        <f>IF(B197="","",IF(J197="Parado - cliente",IFERROR(INDEX(Equipamentos!$D$5:$D$10,MATCH(B197,Equipamentos!$A$5:$A$10,0)),0),IF(OR(J197="Parado - manutenção",J197="Sem serviço"),0,MAX(N(K197),IFERROR(INDEX(Equipamentos!$D$5:$D$10,MATCH(B197,Equipamentos!$A$5:$A$10,0)),0)))))</f>
        <v/>
      </c>
      <c r="N197" s="14">
        <f>IF(B197="","",IFERROR(INDEX(Equipamentos!$C$5:$C$10,MATCH(B197,Equipamentos!$A$5:$A$10,0)),0))</f>
        <v/>
      </c>
      <c r="O197" s="14">
        <f>IF(B197="","",M197*N197)</f>
        <v/>
      </c>
      <c r="P197" s="9" t="n"/>
    </row>
    <row r="198">
      <c r="A198" s="15" t="n"/>
      <c r="B198" s="9" t="n"/>
      <c r="C198" s="9" t="n"/>
      <c r="D198" s="9" t="n"/>
      <c r="E198" s="16" t="n"/>
      <c r="F198" s="16" t="n"/>
      <c r="G198" s="16" t="n"/>
      <c r="H198" s="17" t="n"/>
      <c r="I198" s="17" t="n"/>
      <c r="J198" s="9" t="n"/>
      <c r="K198" s="13">
        <f>IF(OR(E198="",F198=""),"",ROUND((MOD(F198-E198,1)-N(G198))*24,2))</f>
        <v/>
      </c>
      <c r="L198" s="13">
        <f>IF(OR(H198="",I198=""),"",I198-H198)</f>
        <v/>
      </c>
      <c r="M198" s="13">
        <f>IF(B198="","",IF(J198="Parado - cliente",IFERROR(INDEX(Equipamentos!$D$5:$D$10,MATCH(B198,Equipamentos!$A$5:$A$10,0)),0),IF(OR(J198="Parado - manutenção",J198="Sem serviço"),0,MAX(N(K198),IFERROR(INDEX(Equipamentos!$D$5:$D$10,MATCH(B198,Equipamentos!$A$5:$A$10,0)),0)))))</f>
        <v/>
      </c>
      <c r="N198" s="14">
        <f>IF(B198="","",IFERROR(INDEX(Equipamentos!$C$5:$C$10,MATCH(B198,Equipamentos!$A$5:$A$10,0)),0))</f>
        <v/>
      </c>
      <c r="O198" s="14">
        <f>IF(B198="","",M198*N198)</f>
        <v/>
      </c>
      <c r="P198" s="9" t="n"/>
    </row>
    <row r="199">
      <c r="A199" s="15" t="n"/>
      <c r="B199" s="9" t="n"/>
      <c r="C199" s="9" t="n"/>
      <c r="D199" s="9" t="n"/>
      <c r="E199" s="16" t="n"/>
      <c r="F199" s="16" t="n"/>
      <c r="G199" s="16" t="n"/>
      <c r="H199" s="17" t="n"/>
      <c r="I199" s="17" t="n"/>
      <c r="J199" s="9" t="n"/>
      <c r="K199" s="13">
        <f>IF(OR(E199="",F199=""),"",ROUND((MOD(F199-E199,1)-N(G199))*24,2))</f>
        <v/>
      </c>
      <c r="L199" s="13">
        <f>IF(OR(H199="",I199=""),"",I199-H199)</f>
        <v/>
      </c>
      <c r="M199" s="13">
        <f>IF(B199="","",IF(J199="Parado - cliente",IFERROR(INDEX(Equipamentos!$D$5:$D$10,MATCH(B199,Equipamentos!$A$5:$A$10,0)),0),IF(OR(J199="Parado - manutenção",J199="Sem serviço"),0,MAX(N(K199),IFERROR(INDEX(Equipamentos!$D$5:$D$10,MATCH(B199,Equipamentos!$A$5:$A$10,0)),0)))))</f>
        <v/>
      </c>
      <c r="N199" s="14">
        <f>IF(B199="","",IFERROR(INDEX(Equipamentos!$C$5:$C$10,MATCH(B199,Equipamentos!$A$5:$A$10,0)),0))</f>
        <v/>
      </c>
      <c r="O199" s="14">
        <f>IF(B199="","",M199*N199)</f>
        <v/>
      </c>
      <c r="P199" s="9" t="n"/>
    </row>
    <row r="200">
      <c r="A200" s="15" t="n"/>
      <c r="B200" s="9" t="n"/>
      <c r="C200" s="9" t="n"/>
      <c r="D200" s="9" t="n"/>
      <c r="E200" s="16" t="n"/>
      <c r="F200" s="16" t="n"/>
      <c r="G200" s="16" t="n"/>
      <c r="H200" s="17" t="n"/>
      <c r="I200" s="17" t="n"/>
      <c r="J200" s="9" t="n"/>
      <c r="K200" s="13">
        <f>IF(OR(E200="",F200=""),"",ROUND((MOD(F200-E200,1)-N(G200))*24,2))</f>
        <v/>
      </c>
      <c r="L200" s="13">
        <f>IF(OR(H200="",I200=""),"",I200-H200)</f>
        <v/>
      </c>
      <c r="M200" s="13">
        <f>IF(B200="","",IF(J200="Parado - cliente",IFERROR(INDEX(Equipamentos!$D$5:$D$10,MATCH(B200,Equipamentos!$A$5:$A$10,0)),0),IF(OR(J200="Parado - manutenção",J200="Sem serviço"),0,MAX(N(K200),IFERROR(INDEX(Equipamentos!$D$5:$D$10,MATCH(B200,Equipamentos!$A$5:$A$10,0)),0)))))</f>
        <v/>
      </c>
      <c r="N200" s="14">
        <f>IF(B200="","",IFERROR(INDEX(Equipamentos!$C$5:$C$10,MATCH(B200,Equipamentos!$A$5:$A$10,0)),0))</f>
        <v/>
      </c>
      <c r="O200" s="14">
        <f>IF(B200="","",M200*N200)</f>
        <v/>
      </c>
      <c r="P200" s="9" t="n"/>
    </row>
    <row r="201">
      <c r="A201" s="15" t="n"/>
      <c r="B201" s="9" t="n"/>
      <c r="C201" s="9" t="n"/>
      <c r="D201" s="9" t="n"/>
      <c r="E201" s="16" t="n"/>
      <c r="F201" s="16" t="n"/>
      <c r="G201" s="16" t="n"/>
      <c r="H201" s="17" t="n"/>
      <c r="I201" s="17" t="n"/>
      <c r="J201" s="9" t="n"/>
      <c r="K201" s="13">
        <f>IF(OR(E201="",F201=""),"",ROUND((MOD(F201-E201,1)-N(G201))*24,2))</f>
        <v/>
      </c>
      <c r="L201" s="13">
        <f>IF(OR(H201="",I201=""),"",I201-H201)</f>
        <v/>
      </c>
      <c r="M201" s="13">
        <f>IF(B201="","",IF(J201="Parado - cliente",IFERROR(INDEX(Equipamentos!$D$5:$D$10,MATCH(B201,Equipamentos!$A$5:$A$10,0)),0),IF(OR(J201="Parado - manutenção",J201="Sem serviço"),0,MAX(N(K201),IFERROR(INDEX(Equipamentos!$D$5:$D$10,MATCH(B201,Equipamentos!$A$5:$A$10,0)),0)))))</f>
        <v/>
      </c>
      <c r="N201" s="14">
        <f>IF(B201="","",IFERROR(INDEX(Equipamentos!$C$5:$C$10,MATCH(B201,Equipamentos!$A$5:$A$10,0)),0))</f>
        <v/>
      </c>
      <c r="O201" s="14">
        <f>IF(B201="","",M201*N201)</f>
        <v/>
      </c>
      <c r="P201" s="9" t="n"/>
    </row>
    <row r="202">
      <c r="A202" s="15" t="n"/>
      <c r="B202" s="9" t="n"/>
      <c r="C202" s="9" t="n"/>
      <c r="D202" s="9" t="n"/>
      <c r="E202" s="16" t="n"/>
      <c r="F202" s="16" t="n"/>
      <c r="G202" s="16" t="n"/>
      <c r="H202" s="17" t="n"/>
      <c r="I202" s="17" t="n"/>
      <c r="J202" s="9" t="n"/>
      <c r="K202" s="13">
        <f>IF(OR(E202="",F202=""),"",ROUND((MOD(F202-E202,1)-N(G202))*24,2))</f>
        <v/>
      </c>
      <c r="L202" s="13">
        <f>IF(OR(H202="",I202=""),"",I202-H202)</f>
        <v/>
      </c>
      <c r="M202" s="13">
        <f>IF(B202="","",IF(J202="Parado - cliente",IFERROR(INDEX(Equipamentos!$D$5:$D$10,MATCH(B202,Equipamentos!$A$5:$A$10,0)),0),IF(OR(J202="Parado - manutenção",J202="Sem serviço"),0,MAX(N(K202),IFERROR(INDEX(Equipamentos!$D$5:$D$10,MATCH(B202,Equipamentos!$A$5:$A$10,0)),0)))))</f>
        <v/>
      </c>
      <c r="N202" s="14">
        <f>IF(B202="","",IFERROR(INDEX(Equipamentos!$C$5:$C$10,MATCH(B202,Equipamentos!$A$5:$A$10,0)),0))</f>
        <v/>
      </c>
      <c r="O202" s="14">
        <f>IF(B202="","",M202*N202)</f>
        <v/>
      </c>
      <c r="P202" s="9" t="n"/>
    </row>
    <row r="203">
      <c r="A203" s="15" t="n"/>
      <c r="B203" s="9" t="n"/>
      <c r="C203" s="9" t="n"/>
      <c r="D203" s="9" t="n"/>
      <c r="E203" s="16" t="n"/>
      <c r="F203" s="16" t="n"/>
      <c r="G203" s="16" t="n"/>
      <c r="H203" s="17" t="n"/>
      <c r="I203" s="17" t="n"/>
      <c r="J203" s="9" t="n"/>
      <c r="K203" s="13">
        <f>IF(OR(E203="",F203=""),"",ROUND((MOD(F203-E203,1)-N(G203))*24,2))</f>
        <v/>
      </c>
      <c r="L203" s="13">
        <f>IF(OR(H203="",I203=""),"",I203-H203)</f>
        <v/>
      </c>
      <c r="M203" s="13">
        <f>IF(B203="","",IF(J203="Parado - cliente",IFERROR(INDEX(Equipamentos!$D$5:$D$10,MATCH(B203,Equipamentos!$A$5:$A$10,0)),0),IF(OR(J203="Parado - manutenção",J203="Sem serviço"),0,MAX(N(K203),IFERROR(INDEX(Equipamentos!$D$5:$D$10,MATCH(B203,Equipamentos!$A$5:$A$10,0)),0)))))</f>
        <v/>
      </c>
      <c r="N203" s="14">
        <f>IF(B203="","",IFERROR(INDEX(Equipamentos!$C$5:$C$10,MATCH(B203,Equipamentos!$A$5:$A$10,0)),0))</f>
        <v/>
      </c>
      <c r="O203" s="14">
        <f>IF(B203="","",M203*N203)</f>
        <v/>
      </c>
      <c r="P203" s="9" t="n"/>
    </row>
    <row r="204">
      <c r="A204" s="15" t="n"/>
      <c r="B204" s="9" t="n"/>
      <c r="C204" s="9" t="n"/>
      <c r="D204" s="9" t="n"/>
      <c r="E204" s="16" t="n"/>
      <c r="F204" s="16" t="n"/>
      <c r="G204" s="16" t="n"/>
      <c r="H204" s="17" t="n"/>
      <c r="I204" s="17" t="n"/>
      <c r="J204" s="9" t="n"/>
      <c r="K204" s="13">
        <f>IF(OR(E204="",F204=""),"",ROUND((MOD(F204-E204,1)-N(G204))*24,2))</f>
        <v/>
      </c>
      <c r="L204" s="13">
        <f>IF(OR(H204="",I204=""),"",I204-H204)</f>
        <v/>
      </c>
      <c r="M204" s="13">
        <f>IF(B204="","",IF(J204="Parado - cliente",IFERROR(INDEX(Equipamentos!$D$5:$D$10,MATCH(B204,Equipamentos!$A$5:$A$10,0)),0),IF(OR(J204="Parado - manutenção",J204="Sem serviço"),0,MAX(N(K204),IFERROR(INDEX(Equipamentos!$D$5:$D$10,MATCH(B204,Equipamentos!$A$5:$A$10,0)),0)))))</f>
        <v/>
      </c>
      <c r="N204" s="14">
        <f>IF(B204="","",IFERROR(INDEX(Equipamentos!$C$5:$C$10,MATCH(B204,Equipamentos!$A$5:$A$10,0)),0))</f>
        <v/>
      </c>
      <c r="O204" s="14">
        <f>IF(B204="","",M204*N204)</f>
        <v/>
      </c>
      <c r="P204" s="9" t="n"/>
    </row>
    <row r="205">
      <c r="A205" s="15" t="n"/>
      <c r="B205" s="9" t="n"/>
      <c r="C205" s="9" t="n"/>
      <c r="D205" s="9" t="n"/>
      <c r="E205" s="16" t="n"/>
      <c r="F205" s="16" t="n"/>
      <c r="G205" s="16" t="n"/>
      <c r="H205" s="17" t="n"/>
      <c r="I205" s="17" t="n"/>
      <c r="J205" s="9" t="n"/>
      <c r="K205" s="13">
        <f>IF(OR(E205="",F205=""),"",ROUND((MOD(F205-E205,1)-N(G205))*24,2))</f>
        <v/>
      </c>
      <c r="L205" s="13">
        <f>IF(OR(H205="",I205=""),"",I205-H205)</f>
        <v/>
      </c>
      <c r="M205" s="13">
        <f>IF(B205="","",IF(J205="Parado - cliente",IFERROR(INDEX(Equipamentos!$D$5:$D$10,MATCH(B205,Equipamentos!$A$5:$A$10,0)),0),IF(OR(J205="Parado - manutenção",J205="Sem serviço"),0,MAX(N(K205),IFERROR(INDEX(Equipamentos!$D$5:$D$10,MATCH(B205,Equipamentos!$A$5:$A$10,0)),0)))))</f>
        <v/>
      </c>
      <c r="N205" s="14">
        <f>IF(B205="","",IFERROR(INDEX(Equipamentos!$C$5:$C$10,MATCH(B205,Equipamentos!$A$5:$A$10,0)),0))</f>
        <v/>
      </c>
      <c r="O205" s="14">
        <f>IF(B205="","",M205*N205)</f>
        <v/>
      </c>
      <c r="P205" s="9" t="n"/>
    </row>
    <row r="206">
      <c r="A206" s="15" t="n"/>
      <c r="B206" s="9" t="n"/>
      <c r="C206" s="9" t="n"/>
      <c r="D206" s="9" t="n"/>
      <c r="E206" s="16" t="n"/>
      <c r="F206" s="16" t="n"/>
      <c r="G206" s="16" t="n"/>
      <c r="H206" s="17" t="n"/>
      <c r="I206" s="17" t="n"/>
      <c r="J206" s="9" t="n"/>
      <c r="K206" s="13">
        <f>IF(OR(E206="",F206=""),"",ROUND((MOD(F206-E206,1)-N(G206))*24,2))</f>
        <v/>
      </c>
      <c r="L206" s="13">
        <f>IF(OR(H206="",I206=""),"",I206-H206)</f>
        <v/>
      </c>
      <c r="M206" s="13">
        <f>IF(B206="","",IF(J206="Parado - cliente",IFERROR(INDEX(Equipamentos!$D$5:$D$10,MATCH(B206,Equipamentos!$A$5:$A$10,0)),0),IF(OR(J206="Parado - manutenção",J206="Sem serviço"),0,MAX(N(K206),IFERROR(INDEX(Equipamentos!$D$5:$D$10,MATCH(B206,Equipamentos!$A$5:$A$10,0)),0)))))</f>
        <v/>
      </c>
      <c r="N206" s="14">
        <f>IF(B206="","",IFERROR(INDEX(Equipamentos!$C$5:$C$10,MATCH(B206,Equipamentos!$A$5:$A$10,0)),0))</f>
        <v/>
      </c>
      <c r="O206" s="14">
        <f>IF(B206="","",M206*N206)</f>
        <v/>
      </c>
      <c r="P206" s="9" t="n"/>
    </row>
    <row r="207">
      <c r="A207" s="15" t="n"/>
      <c r="B207" s="9" t="n"/>
      <c r="C207" s="9" t="n"/>
      <c r="D207" s="9" t="n"/>
      <c r="E207" s="16" t="n"/>
      <c r="F207" s="16" t="n"/>
      <c r="G207" s="16" t="n"/>
      <c r="H207" s="17" t="n"/>
      <c r="I207" s="17" t="n"/>
      <c r="J207" s="9" t="n"/>
      <c r="K207" s="13">
        <f>IF(OR(E207="",F207=""),"",ROUND((MOD(F207-E207,1)-N(G207))*24,2))</f>
        <v/>
      </c>
      <c r="L207" s="13">
        <f>IF(OR(H207="",I207=""),"",I207-H207)</f>
        <v/>
      </c>
      <c r="M207" s="13">
        <f>IF(B207="","",IF(J207="Parado - cliente",IFERROR(INDEX(Equipamentos!$D$5:$D$10,MATCH(B207,Equipamentos!$A$5:$A$10,0)),0),IF(OR(J207="Parado - manutenção",J207="Sem serviço"),0,MAX(N(K207),IFERROR(INDEX(Equipamentos!$D$5:$D$10,MATCH(B207,Equipamentos!$A$5:$A$10,0)),0)))))</f>
        <v/>
      </c>
      <c r="N207" s="14">
        <f>IF(B207="","",IFERROR(INDEX(Equipamentos!$C$5:$C$10,MATCH(B207,Equipamentos!$A$5:$A$10,0)),0))</f>
        <v/>
      </c>
      <c r="O207" s="14">
        <f>IF(B207="","",M207*N207)</f>
        <v/>
      </c>
      <c r="P207" s="9" t="n"/>
    </row>
    <row r="208">
      <c r="A208" s="15" t="n"/>
      <c r="B208" s="9" t="n"/>
      <c r="C208" s="9" t="n"/>
      <c r="D208" s="9" t="n"/>
      <c r="E208" s="16" t="n"/>
      <c r="F208" s="16" t="n"/>
      <c r="G208" s="16" t="n"/>
      <c r="H208" s="17" t="n"/>
      <c r="I208" s="17" t="n"/>
      <c r="J208" s="9" t="n"/>
      <c r="K208" s="13">
        <f>IF(OR(E208="",F208=""),"",ROUND((MOD(F208-E208,1)-N(G208))*24,2))</f>
        <v/>
      </c>
      <c r="L208" s="13">
        <f>IF(OR(H208="",I208=""),"",I208-H208)</f>
        <v/>
      </c>
      <c r="M208" s="13">
        <f>IF(B208="","",IF(J208="Parado - cliente",IFERROR(INDEX(Equipamentos!$D$5:$D$10,MATCH(B208,Equipamentos!$A$5:$A$10,0)),0),IF(OR(J208="Parado - manutenção",J208="Sem serviço"),0,MAX(N(K208),IFERROR(INDEX(Equipamentos!$D$5:$D$10,MATCH(B208,Equipamentos!$A$5:$A$10,0)),0)))))</f>
        <v/>
      </c>
      <c r="N208" s="14">
        <f>IF(B208="","",IFERROR(INDEX(Equipamentos!$C$5:$C$10,MATCH(B208,Equipamentos!$A$5:$A$10,0)),0))</f>
        <v/>
      </c>
      <c r="O208" s="14">
        <f>IF(B208="","",M208*N208)</f>
        <v/>
      </c>
      <c r="P208" s="9" t="n"/>
    </row>
    <row r="209">
      <c r="A209" s="15" t="n"/>
      <c r="B209" s="9" t="n"/>
      <c r="C209" s="9" t="n"/>
      <c r="D209" s="9" t="n"/>
      <c r="E209" s="16" t="n"/>
      <c r="F209" s="16" t="n"/>
      <c r="G209" s="16" t="n"/>
      <c r="H209" s="17" t="n"/>
      <c r="I209" s="17" t="n"/>
      <c r="J209" s="9" t="n"/>
      <c r="K209" s="13">
        <f>IF(OR(E209="",F209=""),"",ROUND((MOD(F209-E209,1)-N(G209))*24,2))</f>
        <v/>
      </c>
      <c r="L209" s="13">
        <f>IF(OR(H209="",I209=""),"",I209-H209)</f>
        <v/>
      </c>
      <c r="M209" s="13">
        <f>IF(B209="","",IF(J209="Parado - cliente",IFERROR(INDEX(Equipamentos!$D$5:$D$10,MATCH(B209,Equipamentos!$A$5:$A$10,0)),0),IF(OR(J209="Parado - manutenção",J209="Sem serviço"),0,MAX(N(K209),IFERROR(INDEX(Equipamentos!$D$5:$D$10,MATCH(B209,Equipamentos!$A$5:$A$10,0)),0)))))</f>
        <v/>
      </c>
      <c r="N209" s="14">
        <f>IF(B209="","",IFERROR(INDEX(Equipamentos!$C$5:$C$10,MATCH(B209,Equipamentos!$A$5:$A$10,0)),0))</f>
        <v/>
      </c>
      <c r="O209" s="14">
        <f>IF(B209="","",M209*N209)</f>
        <v/>
      </c>
      <c r="P209" s="9" t="n"/>
    </row>
    <row r="210">
      <c r="A210" s="15" t="n"/>
      <c r="B210" s="9" t="n"/>
      <c r="C210" s="9" t="n"/>
      <c r="D210" s="9" t="n"/>
      <c r="E210" s="16" t="n"/>
      <c r="F210" s="16" t="n"/>
      <c r="G210" s="16" t="n"/>
      <c r="H210" s="17" t="n"/>
      <c r="I210" s="17" t="n"/>
      <c r="J210" s="9" t="n"/>
      <c r="K210" s="13">
        <f>IF(OR(E210="",F210=""),"",ROUND((MOD(F210-E210,1)-N(G210))*24,2))</f>
        <v/>
      </c>
      <c r="L210" s="13">
        <f>IF(OR(H210="",I210=""),"",I210-H210)</f>
        <v/>
      </c>
      <c r="M210" s="13">
        <f>IF(B210="","",IF(J210="Parado - cliente",IFERROR(INDEX(Equipamentos!$D$5:$D$10,MATCH(B210,Equipamentos!$A$5:$A$10,0)),0),IF(OR(J210="Parado - manutenção",J210="Sem serviço"),0,MAX(N(K210),IFERROR(INDEX(Equipamentos!$D$5:$D$10,MATCH(B210,Equipamentos!$A$5:$A$10,0)),0)))))</f>
        <v/>
      </c>
      <c r="N210" s="14">
        <f>IF(B210="","",IFERROR(INDEX(Equipamentos!$C$5:$C$10,MATCH(B210,Equipamentos!$A$5:$A$10,0)),0))</f>
        <v/>
      </c>
      <c r="O210" s="14">
        <f>IF(B210="","",M210*N210)</f>
        <v/>
      </c>
      <c r="P210" s="9" t="n"/>
    </row>
    <row r="211">
      <c r="A211" s="15" t="n"/>
      <c r="B211" s="9" t="n"/>
      <c r="C211" s="9" t="n"/>
      <c r="D211" s="9" t="n"/>
      <c r="E211" s="16" t="n"/>
      <c r="F211" s="16" t="n"/>
      <c r="G211" s="16" t="n"/>
      <c r="H211" s="17" t="n"/>
      <c r="I211" s="17" t="n"/>
      <c r="J211" s="9" t="n"/>
      <c r="K211" s="13">
        <f>IF(OR(E211="",F211=""),"",ROUND((MOD(F211-E211,1)-N(G211))*24,2))</f>
        <v/>
      </c>
      <c r="L211" s="13">
        <f>IF(OR(H211="",I211=""),"",I211-H211)</f>
        <v/>
      </c>
      <c r="M211" s="13">
        <f>IF(B211="","",IF(J211="Parado - cliente",IFERROR(INDEX(Equipamentos!$D$5:$D$10,MATCH(B211,Equipamentos!$A$5:$A$10,0)),0),IF(OR(J211="Parado - manutenção",J211="Sem serviço"),0,MAX(N(K211),IFERROR(INDEX(Equipamentos!$D$5:$D$10,MATCH(B211,Equipamentos!$A$5:$A$10,0)),0)))))</f>
        <v/>
      </c>
      <c r="N211" s="14">
        <f>IF(B211="","",IFERROR(INDEX(Equipamentos!$C$5:$C$10,MATCH(B211,Equipamentos!$A$5:$A$10,0)),0))</f>
        <v/>
      </c>
      <c r="O211" s="14">
        <f>IF(B211="","",M211*N211)</f>
        <v/>
      </c>
      <c r="P211" s="9" t="n"/>
    </row>
    <row r="212">
      <c r="A212" s="15" t="n"/>
      <c r="B212" s="9" t="n"/>
      <c r="C212" s="9" t="n"/>
      <c r="D212" s="9" t="n"/>
      <c r="E212" s="16" t="n"/>
      <c r="F212" s="16" t="n"/>
      <c r="G212" s="16" t="n"/>
      <c r="H212" s="17" t="n"/>
      <c r="I212" s="17" t="n"/>
      <c r="J212" s="9" t="n"/>
      <c r="K212" s="13">
        <f>IF(OR(E212="",F212=""),"",ROUND((MOD(F212-E212,1)-N(G212))*24,2))</f>
        <v/>
      </c>
      <c r="L212" s="13">
        <f>IF(OR(H212="",I212=""),"",I212-H212)</f>
        <v/>
      </c>
      <c r="M212" s="13">
        <f>IF(B212="","",IF(J212="Parado - cliente",IFERROR(INDEX(Equipamentos!$D$5:$D$10,MATCH(B212,Equipamentos!$A$5:$A$10,0)),0),IF(OR(J212="Parado - manutenção",J212="Sem serviço"),0,MAX(N(K212),IFERROR(INDEX(Equipamentos!$D$5:$D$10,MATCH(B212,Equipamentos!$A$5:$A$10,0)),0)))))</f>
        <v/>
      </c>
      <c r="N212" s="14">
        <f>IF(B212="","",IFERROR(INDEX(Equipamentos!$C$5:$C$10,MATCH(B212,Equipamentos!$A$5:$A$10,0)),0))</f>
        <v/>
      </c>
      <c r="O212" s="14">
        <f>IF(B212="","",M212*N212)</f>
        <v/>
      </c>
      <c r="P212" s="9" t="n"/>
    </row>
    <row r="213">
      <c r="A213" s="15" t="n"/>
      <c r="B213" s="9" t="n"/>
      <c r="C213" s="9" t="n"/>
      <c r="D213" s="9" t="n"/>
      <c r="E213" s="16" t="n"/>
      <c r="F213" s="16" t="n"/>
      <c r="G213" s="16" t="n"/>
      <c r="H213" s="17" t="n"/>
      <c r="I213" s="17" t="n"/>
      <c r="J213" s="9" t="n"/>
      <c r="K213" s="13">
        <f>IF(OR(E213="",F213=""),"",ROUND((MOD(F213-E213,1)-N(G213))*24,2))</f>
        <v/>
      </c>
      <c r="L213" s="13">
        <f>IF(OR(H213="",I213=""),"",I213-H213)</f>
        <v/>
      </c>
      <c r="M213" s="13">
        <f>IF(B213="","",IF(J213="Parado - cliente",IFERROR(INDEX(Equipamentos!$D$5:$D$10,MATCH(B213,Equipamentos!$A$5:$A$10,0)),0),IF(OR(J213="Parado - manutenção",J213="Sem serviço"),0,MAX(N(K213),IFERROR(INDEX(Equipamentos!$D$5:$D$10,MATCH(B213,Equipamentos!$A$5:$A$10,0)),0)))))</f>
        <v/>
      </c>
      <c r="N213" s="14">
        <f>IF(B213="","",IFERROR(INDEX(Equipamentos!$C$5:$C$10,MATCH(B213,Equipamentos!$A$5:$A$10,0)),0))</f>
        <v/>
      </c>
      <c r="O213" s="14">
        <f>IF(B213="","",M213*N213)</f>
        <v/>
      </c>
      <c r="P213" s="9" t="n"/>
    </row>
    <row r="214">
      <c r="A214" s="15" t="n"/>
      <c r="B214" s="9" t="n"/>
      <c r="C214" s="9" t="n"/>
      <c r="D214" s="9" t="n"/>
      <c r="E214" s="16" t="n"/>
      <c r="F214" s="16" t="n"/>
      <c r="G214" s="16" t="n"/>
      <c r="H214" s="17" t="n"/>
      <c r="I214" s="17" t="n"/>
      <c r="J214" s="9" t="n"/>
      <c r="K214" s="13">
        <f>IF(OR(E214="",F214=""),"",ROUND((MOD(F214-E214,1)-N(G214))*24,2))</f>
        <v/>
      </c>
      <c r="L214" s="13">
        <f>IF(OR(H214="",I214=""),"",I214-H214)</f>
        <v/>
      </c>
      <c r="M214" s="13">
        <f>IF(B214="","",IF(J214="Parado - cliente",IFERROR(INDEX(Equipamentos!$D$5:$D$10,MATCH(B214,Equipamentos!$A$5:$A$10,0)),0),IF(OR(J214="Parado - manutenção",J214="Sem serviço"),0,MAX(N(K214),IFERROR(INDEX(Equipamentos!$D$5:$D$10,MATCH(B214,Equipamentos!$A$5:$A$10,0)),0)))))</f>
        <v/>
      </c>
      <c r="N214" s="14">
        <f>IF(B214="","",IFERROR(INDEX(Equipamentos!$C$5:$C$10,MATCH(B214,Equipamentos!$A$5:$A$10,0)),0))</f>
        <v/>
      </c>
      <c r="O214" s="14">
        <f>IF(B214="","",M214*N214)</f>
        <v/>
      </c>
      <c r="P214" s="9" t="n"/>
    </row>
    <row r="215">
      <c r="A215" s="15" t="n"/>
      <c r="B215" s="9" t="n"/>
      <c r="C215" s="9" t="n"/>
      <c r="D215" s="9" t="n"/>
      <c r="E215" s="16" t="n"/>
      <c r="F215" s="16" t="n"/>
      <c r="G215" s="16" t="n"/>
      <c r="H215" s="17" t="n"/>
      <c r="I215" s="17" t="n"/>
      <c r="J215" s="9" t="n"/>
      <c r="K215" s="13">
        <f>IF(OR(E215="",F215=""),"",ROUND((MOD(F215-E215,1)-N(G215))*24,2))</f>
        <v/>
      </c>
      <c r="L215" s="13">
        <f>IF(OR(H215="",I215=""),"",I215-H215)</f>
        <v/>
      </c>
      <c r="M215" s="13">
        <f>IF(B215="","",IF(J215="Parado - cliente",IFERROR(INDEX(Equipamentos!$D$5:$D$10,MATCH(B215,Equipamentos!$A$5:$A$10,0)),0),IF(OR(J215="Parado - manutenção",J215="Sem serviço"),0,MAX(N(K215),IFERROR(INDEX(Equipamentos!$D$5:$D$10,MATCH(B215,Equipamentos!$A$5:$A$10,0)),0)))))</f>
        <v/>
      </c>
      <c r="N215" s="14">
        <f>IF(B215="","",IFERROR(INDEX(Equipamentos!$C$5:$C$10,MATCH(B215,Equipamentos!$A$5:$A$10,0)),0))</f>
        <v/>
      </c>
      <c r="O215" s="14">
        <f>IF(B215="","",M215*N215)</f>
        <v/>
      </c>
      <c r="P215" s="9" t="n"/>
    </row>
    <row r="216">
      <c r="A216" s="15" t="n"/>
      <c r="B216" s="9" t="n"/>
      <c r="C216" s="9" t="n"/>
      <c r="D216" s="9" t="n"/>
      <c r="E216" s="16" t="n"/>
      <c r="F216" s="16" t="n"/>
      <c r="G216" s="16" t="n"/>
      <c r="H216" s="17" t="n"/>
      <c r="I216" s="17" t="n"/>
      <c r="J216" s="9" t="n"/>
      <c r="K216" s="13">
        <f>IF(OR(E216="",F216=""),"",ROUND((MOD(F216-E216,1)-N(G216))*24,2))</f>
        <v/>
      </c>
      <c r="L216" s="13">
        <f>IF(OR(H216="",I216=""),"",I216-H216)</f>
        <v/>
      </c>
      <c r="M216" s="13">
        <f>IF(B216="","",IF(J216="Parado - cliente",IFERROR(INDEX(Equipamentos!$D$5:$D$10,MATCH(B216,Equipamentos!$A$5:$A$10,0)),0),IF(OR(J216="Parado - manutenção",J216="Sem serviço"),0,MAX(N(K216),IFERROR(INDEX(Equipamentos!$D$5:$D$10,MATCH(B216,Equipamentos!$A$5:$A$10,0)),0)))))</f>
        <v/>
      </c>
      <c r="N216" s="14">
        <f>IF(B216="","",IFERROR(INDEX(Equipamentos!$C$5:$C$10,MATCH(B216,Equipamentos!$A$5:$A$10,0)),0))</f>
        <v/>
      </c>
      <c r="O216" s="14">
        <f>IF(B216="","",M216*N216)</f>
        <v/>
      </c>
      <c r="P216" s="9" t="n"/>
    </row>
    <row r="217">
      <c r="A217" s="15" t="n"/>
      <c r="B217" s="9" t="n"/>
      <c r="C217" s="9" t="n"/>
      <c r="D217" s="9" t="n"/>
      <c r="E217" s="16" t="n"/>
      <c r="F217" s="16" t="n"/>
      <c r="G217" s="16" t="n"/>
      <c r="H217" s="17" t="n"/>
      <c r="I217" s="17" t="n"/>
      <c r="J217" s="9" t="n"/>
      <c r="K217" s="13">
        <f>IF(OR(E217="",F217=""),"",ROUND((MOD(F217-E217,1)-N(G217))*24,2))</f>
        <v/>
      </c>
      <c r="L217" s="13">
        <f>IF(OR(H217="",I217=""),"",I217-H217)</f>
        <v/>
      </c>
      <c r="M217" s="13">
        <f>IF(B217="","",IF(J217="Parado - cliente",IFERROR(INDEX(Equipamentos!$D$5:$D$10,MATCH(B217,Equipamentos!$A$5:$A$10,0)),0),IF(OR(J217="Parado - manutenção",J217="Sem serviço"),0,MAX(N(K217),IFERROR(INDEX(Equipamentos!$D$5:$D$10,MATCH(B217,Equipamentos!$A$5:$A$10,0)),0)))))</f>
        <v/>
      </c>
      <c r="N217" s="14">
        <f>IF(B217="","",IFERROR(INDEX(Equipamentos!$C$5:$C$10,MATCH(B217,Equipamentos!$A$5:$A$10,0)),0))</f>
        <v/>
      </c>
      <c r="O217" s="14">
        <f>IF(B217="","",M217*N217)</f>
        <v/>
      </c>
      <c r="P217" s="9" t="n"/>
    </row>
    <row r="218">
      <c r="A218" s="15" t="n"/>
      <c r="B218" s="9" t="n"/>
      <c r="C218" s="9" t="n"/>
      <c r="D218" s="9" t="n"/>
      <c r="E218" s="16" t="n"/>
      <c r="F218" s="16" t="n"/>
      <c r="G218" s="16" t="n"/>
      <c r="H218" s="17" t="n"/>
      <c r="I218" s="17" t="n"/>
      <c r="J218" s="9" t="n"/>
      <c r="K218" s="13">
        <f>IF(OR(E218="",F218=""),"",ROUND((MOD(F218-E218,1)-N(G218))*24,2))</f>
        <v/>
      </c>
      <c r="L218" s="13">
        <f>IF(OR(H218="",I218=""),"",I218-H218)</f>
        <v/>
      </c>
      <c r="M218" s="13">
        <f>IF(B218="","",IF(J218="Parado - cliente",IFERROR(INDEX(Equipamentos!$D$5:$D$10,MATCH(B218,Equipamentos!$A$5:$A$10,0)),0),IF(OR(J218="Parado - manutenção",J218="Sem serviço"),0,MAX(N(K218),IFERROR(INDEX(Equipamentos!$D$5:$D$10,MATCH(B218,Equipamentos!$A$5:$A$10,0)),0)))))</f>
        <v/>
      </c>
      <c r="N218" s="14">
        <f>IF(B218="","",IFERROR(INDEX(Equipamentos!$C$5:$C$10,MATCH(B218,Equipamentos!$A$5:$A$10,0)),0))</f>
        <v/>
      </c>
      <c r="O218" s="14">
        <f>IF(B218="","",M218*N218)</f>
        <v/>
      </c>
      <c r="P218" s="9" t="n"/>
    </row>
    <row r="219">
      <c r="A219" s="15" t="n"/>
      <c r="B219" s="9" t="n"/>
      <c r="C219" s="9" t="n"/>
      <c r="D219" s="9" t="n"/>
      <c r="E219" s="16" t="n"/>
      <c r="F219" s="16" t="n"/>
      <c r="G219" s="16" t="n"/>
      <c r="H219" s="17" t="n"/>
      <c r="I219" s="17" t="n"/>
      <c r="J219" s="9" t="n"/>
      <c r="K219" s="13">
        <f>IF(OR(E219="",F219=""),"",ROUND((MOD(F219-E219,1)-N(G219))*24,2))</f>
        <v/>
      </c>
      <c r="L219" s="13">
        <f>IF(OR(H219="",I219=""),"",I219-H219)</f>
        <v/>
      </c>
      <c r="M219" s="13">
        <f>IF(B219="","",IF(J219="Parado - cliente",IFERROR(INDEX(Equipamentos!$D$5:$D$10,MATCH(B219,Equipamentos!$A$5:$A$10,0)),0),IF(OR(J219="Parado - manutenção",J219="Sem serviço"),0,MAX(N(K219),IFERROR(INDEX(Equipamentos!$D$5:$D$10,MATCH(B219,Equipamentos!$A$5:$A$10,0)),0)))))</f>
        <v/>
      </c>
      <c r="N219" s="14">
        <f>IF(B219="","",IFERROR(INDEX(Equipamentos!$C$5:$C$10,MATCH(B219,Equipamentos!$A$5:$A$10,0)),0))</f>
        <v/>
      </c>
      <c r="O219" s="14">
        <f>IF(B219="","",M219*N219)</f>
        <v/>
      </c>
      <c r="P219" s="9" t="n"/>
    </row>
    <row r="220">
      <c r="A220" s="15" t="n"/>
      <c r="B220" s="9" t="n"/>
      <c r="C220" s="9" t="n"/>
      <c r="D220" s="9" t="n"/>
      <c r="E220" s="16" t="n"/>
      <c r="F220" s="16" t="n"/>
      <c r="G220" s="16" t="n"/>
      <c r="H220" s="17" t="n"/>
      <c r="I220" s="17" t="n"/>
      <c r="J220" s="9" t="n"/>
      <c r="K220" s="13">
        <f>IF(OR(E220="",F220=""),"",ROUND((MOD(F220-E220,1)-N(G220))*24,2))</f>
        <v/>
      </c>
      <c r="L220" s="13">
        <f>IF(OR(H220="",I220=""),"",I220-H220)</f>
        <v/>
      </c>
      <c r="M220" s="13">
        <f>IF(B220="","",IF(J220="Parado - cliente",IFERROR(INDEX(Equipamentos!$D$5:$D$10,MATCH(B220,Equipamentos!$A$5:$A$10,0)),0),IF(OR(J220="Parado - manutenção",J220="Sem serviço"),0,MAX(N(K220),IFERROR(INDEX(Equipamentos!$D$5:$D$10,MATCH(B220,Equipamentos!$A$5:$A$10,0)),0)))))</f>
        <v/>
      </c>
      <c r="N220" s="14">
        <f>IF(B220="","",IFERROR(INDEX(Equipamentos!$C$5:$C$10,MATCH(B220,Equipamentos!$A$5:$A$10,0)),0))</f>
        <v/>
      </c>
      <c r="O220" s="14">
        <f>IF(B220="","",M220*N220)</f>
        <v/>
      </c>
      <c r="P220" s="9" t="n"/>
    </row>
    <row r="221">
      <c r="A221" s="15" t="n"/>
      <c r="B221" s="9" t="n"/>
      <c r="C221" s="9" t="n"/>
      <c r="D221" s="9" t="n"/>
      <c r="E221" s="16" t="n"/>
      <c r="F221" s="16" t="n"/>
      <c r="G221" s="16" t="n"/>
      <c r="H221" s="17" t="n"/>
      <c r="I221" s="17" t="n"/>
      <c r="J221" s="9" t="n"/>
      <c r="K221" s="13">
        <f>IF(OR(E221="",F221=""),"",ROUND((MOD(F221-E221,1)-N(G221))*24,2))</f>
        <v/>
      </c>
      <c r="L221" s="13">
        <f>IF(OR(H221="",I221=""),"",I221-H221)</f>
        <v/>
      </c>
      <c r="M221" s="13">
        <f>IF(B221="","",IF(J221="Parado - cliente",IFERROR(INDEX(Equipamentos!$D$5:$D$10,MATCH(B221,Equipamentos!$A$5:$A$10,0)),0),IF(OR(J221="Parado - manutenção",J221="Sem serviço"),0,MAX(N(K221),IFERROR(INDEX(Equipamentos!$D$5:$D$10,MATCH(B221,Equipamentos!$A$5:$A$10,0)),0)))))</f>
        <v/>
      </c>
      <c r="N221" s="14">
        <f>IF(B221="","",IFERROR(INDEX(Equipamentos!$C$5:$C$10,MATCH(B221,Equipamentos!$A$5:$A$10,0)),0))</f>
        <v/>
      </c>
      <c r="O221" s="14">
        <f>IF(B221="","",M221*N221)</f>
        <v/>
      </c>
      <c r="P221" s="9" t="n"/>
    </row>
    <row r="222">
      <c r="A222" s="15" t="n"/>
      <c r="B222" s="9" t="n"/>
      <c r="C222" s="9" t="n"/>
      <c r="D222" s="9" t="n"/>
      <c r="E222" s="16" t="n"/>
      <c r="F222" s="16" t="n"/>
      <c r="G222" s="16" t="n"/>
      <c r="H222" s="17" t="n"/>
      <c r="I222" s="17" t="n"/>
      <c r="J222" s="9" t="n"/>
      <c r="K222" s="13">
        <f>IF(OR(E222="",F222=""),"",ROUND((MOD(F222-E222,1)-N(G222))*24,2))</f>
        <v/>
      </c>
      <c r="L222" s="13">
        <f>IF(OR(H222="",I222=""),"",I222-H222)</f>
        <v/>
      </c>
      <c r="M222" s="13">
        <f>IF(B222="","",IF(J222="Parado - cliente",IFERROR(INDEX(Equipamentos!$D$5:$D$10,MATCH(B222,Equipamentos!$A$5:$A$10,0)),0),IF(OR(J222="Parado - manutenção",J222="Sem serviço"),0,MAX(N(K222),IFERROR(INDEX(Equipamentos!$D$5:$D$10,MATCH(B222,Equipamentos!$A$5:$A$10,0)),0)))))</f>
        <v/>
      </c>
      <c r="N222" s="14">
        <f>IF(B222="","",IFERROR(INDEX(Equipamentos!$C$5:$C$10,MATCH(B222,Equipamentos!$A$5:$A$10,0)),0))</f>
        <v/>
      </c>
      <c r="O222" s="14">
        <f>IF(B222="","",M222*N222)</f>
        <v/>
      </c>
      <c r="P222" s="9" t="n"/>
    </row>
    <row r="223">
      <c r="A223" s="15" t="n"/>
      <c r="B223" s="9" t="n"/>
      <c r="C223" s="9" t="n"/>
      <c r="D223" s="9" t="n"/>
      <c r="E223" s="16" t="n"/>
      <c r="F223" s="16" t="n"/>
      <c r="G223" s="16" t="n"/>
      <c r="H223" s="17" t="n"/>
      <c r="I223" s="17" t="n"/>
      <c r="J223" s="9" t="n"/>
      <c r="K223" s="13">
        <f>IF(OR(E223="",F223=""),"",ROUND((MOD(F223-E223,1)-N(G223))*24,2))</f>
        <v/>
      </c>
      <c r="L223" s="13">
        <f>IF(OR(H223="",I223=""),"",I223-H223)</f>
        <v/>
      </c>
      <c r="M223" s="13">
        <f>IF(B223="","",IF(J223="Parado - cliente",IFERROR(INDEX(Equipamentos!$D$5:$D$10,MATCH(B223,Equipamentos!$A$5:$A$10,0)),0),IF(OR(J223="Parado - manutenção",J223="Sem serviço"),0,MAX(N(K223),IFERROR(INDEX(Equipamentos!$D$5:$D$10,MATCH(B223,Equipamentos!$A$5:$A$10,0)),0)))))</f>
        <v/>
      </c>
      <c r="N223" s="14">
        <f>IF(B223="","",IFERROR(INDEX(Equipamentos!$C$5:$C$10,MATCH(B223,Equipamentos!$A$5:$A$10,0)),0))</f>
        <v/>
      </c>
      <c r="O223" s="14">
        <f>IF(B223="","",M223*N223)</f>
        <v/>
      </c>
      <c r="P223" s="9" t="n"/>
    </row>
    <row r="224">
      <c r="A224" s="15" t="n"/>
      <c r="B224" s="9" t="n"/>
      <c r="C224" s="9" t="n"/>
      <c r="D224" s="9" t="n"/>
      <c r="E224" s="16" t="n"/>
      <c r="F224" s="16" t="n"/>
      <c r="G224" s="16" t="n"/>
      <c r="H224" s="17" t="n"/>
      <c r="I224" s="17" t="n"/>
      <c r="J224" s="9" t="n"/>
      <c r="K224" s="13">
        <f>IF(OR(E224="",F224=""),"",ROUND((MOD(F224-E224,1)-N(G224))*24,2))</f>
        <v/>
      </c>
      <c r="L224" s="13">
        <f>IF(OR(H224="",I224=""),"",I224-H224)</f>
        <v/>
      </c>
      <c r="M224" s="13">
        <f>IF(B224="","",IF(J224="Parado - cliente",IFERROR(INDEX(Equipamentos!$D$5:$D$10,MATCH(B224,Equipamentos!$A$5:$A$10,0)),0),IF(OR(J224="Parado - manutenção",J224="Sem serviço"),0,MAX(N(K224),IFERROR(INDEX(Equipamentos!$D$5:$D$10,MATCH(B224,Equipamentos!$A$5:$A$10,0)),0)))))</f>
        <v/>
      </c>
      <c r="N224" s="14">
        <f>IF(B224="","",IFERROR(INDEX(Equipamentos!$C$5:$C$10,MATCH(B224,Equipamentos!$A$5:$A$10,0)),0))</f>
        <v/>
      </c>
      <c r="O224" s="14">
        <f>IF(B224="","",M224*N224)</f>
        <v/>
      </c>
      <c r="P224" s="9" t="n"/>
    </row>
    <row r="225">
      <c r="A225" s="15" t="n"/>
      <c r="B225" s="9" t="n"/>
      <c r="C225" s="9" t="n"/>
      <c r="D225" s="9" t="n"/>
      <c r="E225" s="16" t="n"/>
      <c r="F225" s="16" t="n"/>
      <c r="G225" s="16" t="n"/>
      <c r="H225" s="17" t="n"/>
      <c r="I225" s="17" t="n"/>
      <c r="J225" s="9" t="n"/>
      <c r="K225" s="13">
        <f>IF(OR(E225="",F225=""),"",ROUND((MOD(F225-E225,1)-N(G225))*24,2))</f>
        <v/>
      </c>
      <c r="L225" s="13">
        <f>IF(OR(H225="",I225=""),"",I225-H225)</f>
        <v/>
      </c>
      <c r="M225" s="13">
        <f>IF(B225="","",IF(J225="Parado - cliente",IFERROR(INDEX(Equipamentos!$D$5:$D$10,MATCH(B225,Equipamentos!$A$5:$A$10,0)),0),IF(OR(J225="Parado - manutenção",J225="Sem serviço"),0,MAX(N(K225),IFERROR(INDEX(Equipamentos!$D$5:$D$10,MATCH(B225,Equipamentos!$A$5:$A$10,0)),0)))))</f>
        <v/>
      </c>
      <c r="N225" s="14">
        <f>IF(B225="","",IFERROR(INDEX(Equipamentos!$C$5:$C$10,MATCH(B225,Equipamentos!$A$5:$A$10,0)),0))</f>
        <v/>
      </c>
      <c r="O225" s="14">
        <f>IF(B225="","",M225*N225)</f>
        <v/>
      </c>
      <c r="P225" s="9" t="n"/>
    </row>
    <row r="226">
      <c r="A226" s="15" t="n"/>
      <c r="B226" s="9" t="n"/>
      <c r="C226" s="9" t="n"/>
      <c r="D226" s="9" t="n"/>
      <c r="E226" s="16" t="n"/>
      <c r="F226" s="16" t="n"/>
      <c r="G226" s="16" t="n"/>
      <c r="H226" s="17" t="n"/>
      <c r="I226" s="17" t="n"/>
      <c r="J226" s="9" t="n"/>
      <c r="K226" s="13">
        <f>IF(OR(E226="",F226=""),"",ROUND((MOD(F226-E226,1)-N(G226))*24,2))</f>
        <v/>
      </c>
      <c r="L226" s="13">
        <f>IF(OR(H226="",I226=""),"",I226-H226)</f>
        <v/>
      </c>
      <c r="M226" s="13">
        <f>IF(B226="","",IF(J226="Parado - cliente",IFERROR(INDEX(Equipamentos!$D$5:$D$10,MATCH(B226,Equipamentos!$A$5:$A$10,0)),0),IF(OR(J226="Parado - manutenção",J226="Sem serviço"),0,MAX(N(K226),IFERROR(INDEX(Equipamentos!$D$5:$D$10,MATCH(B226,Equipamentos!$A$5:$A$10,0)),0)))))</f>
        <v/>
      </c>
      <c r="N226" s="14">
        <f>IF(B226="","",IFERROR(INDEX(Equipamentos!$C$5:$C$10,MATCH(B226,Equipamentos!$A$5:$A$10,0)),0))</f>
        <v/>
      </c>
      <c r="O226" s="14">
        <f>IF(B226="","",M226*N226)</f>
        <v/>
      </c>
      <c r="P226" s="9" t="n"/>
    </row>
    <row r="227">
      <c r="A227" s="15" t="n"/>
      <c r="B227" s="9" t="n"/>
      <c r="C227" s="9" t="n"/>
      <c r="D227" s="9" t="n"/>
      <c r="E227" s="16" t="n"/>
      <c r="F227" s="16" t="n"/>
      <c r="G227" s="16" t="n"/>
      <c r="H227" s="17" t="n"/>
      <c r="I227" s="17" t="n"/>
      <c r="J227" s="9" t="n"/>
      <c r="K227" s="13">
        <f>IF(OR(E227="",F227=""),"",ROUND((MOD(F227-E227,1)-N(G227))*24,2))</f>
        <v/>
      </c>
      <c r="L227" s="13">
        <f>IF(OR(H227="",I227=""),"",I227-H227)</f>
        <v/>
      </c>
      <c r="M227" s="13">
        <f>IF(B227="","",IF(J227="Parado - cliente",IFERROR(INDEX(Equipamentos!$D$5:$D$10,MATCH(B227,Equipamentos!$A$5:$A$10,0)),0),IF(OR(J227="Parado - manutenção",J227="Sem serviço"),0,MAX(N(K227),IFERROR(INDEX(Equipamentos!$D$5:$D$10,MATCH(B227,Equipamentos!$A$5:$A$10,0)),0)))))</f>
        <v/>
      </c>
      <c r="N227" s="14">
        <f>IF(B227="","",IFERROR(INDEX(Equipamentos!$C$5:$C$10,MATCH(B227,Equipamentos!$A$5:$A$10,0)),0))</f>
        <v/>
      </c>
      <c r="O227" s="14">
        <f>IF(B227="","",M227*N227)</f>
        <v/>
      </c>
      <c r="P227" s="9" t="n"/>
    </row>
    <row r="228">
      <c r="A228" s="15" t="n"/>
      <c r="B228" s="9" t="n"/>
      <c r="C228" s="9" t="n"/>
      <c r="D228" s="9" t="n"/>
      <c r="E228" s="16" t="n"/>
      <c r="F228" s="16" t="n"/>
      <c r="G228" s="16" t="n"/>
      <c r="H228" s="17" t="n"/>
      <c r="I228" s="17" t="n"/>
      <c r="J228" s="9" t="n"/>
      <c r="K228" s="13">
        <f>IF(OR(E228="",F228=""),"",ROUND((MOD(F228-E228,1)-N(G228))*24,2))</f>
        <v/>
      </c>
      <c r="L228" s="13">
        <f>IF(OR(H228="",I228=""),"",I228-H228)</f>
        <v/>
      </c>
      <c r="M228" s="13">
        <f>IF(B228="","",IF(J228="Parado - cliente",IFERROR(INDEX(Equipamentos!$D$5:$D$10,MATCH(B228,Equipamentos!$A$5:$A$10,0)),0),IF(OR(J228="Parado - manutenção",J228="Sem serviço"),0,MAX(N(K228),IFERROR(INDEX(Equipamentos!$D$5:$D$10,MATCH(B228,Equipamentos!$A$5:$A$10,0)),0)))))</f>
        <v/>
      </c>
      <c r="N228" s="14">
        <f>IF(B228="","",IFERROR(INDEX(Equipamentos!$C$5:$C$10,MATCH(B228,Equipamentos!$A$5:$A$10,0)),0))</f>
        <v/>
      </c>
      <c r="O228" s="14">
        <f>IF(B228="","",M228*N228)</f>
        <v/>
      </c>
      <c r="P228" s="9" t="n"/>
    </row>
    <row r="229">
      <c r="A229" s="15" t="n"/>
      <c r="B229" s="9" t="n"/>
      <c r="C229" s="9" t="n"/>
      <c r="D229" s="9" t="n"/>
      <c r="E229" s="16" t="n"/>
      <c r="F229" s="16" t="n"/>
      <c r="G229" s="16" t="n"/>
      <c r="H229" s="17" t="n"/>
      <c r="I229" s="17" t="n"/>
      <c r="J229" s="9" t="n"/>
      <c r="K229" s="13">
        <f>IF(OR(E229="",F229=""),"",ROUND((MOD(F229-E229,1)-N(G229))*24,2))</f>
        <v/>
      </c>
      <c r="L229" s="13">
        <f>IF(OR(H229="",I229=""),"",I229-H229)</f>
        <v/>
      </c>
      <c r="M229" s="13">
        <f>IF(B229="","",IF(J229="Parado - cliente",IFERROR(INDEX(Equipamentos!$D$5:$D$10,MATCH(B229,Equipamentos!$A$5:$A$10,0)),0),IF(OR(J229="Parado - manutenção",J229="Sem serviço"),0,MAX(N(K229),IFERROR(INDEX(Equipamentos!$D$5:$D$10,MATCH(B229,Equipamentos!$A$5:$A$10,0)),0)))))</f>
        <v/>
      </c>
      <c r="N229" s="14">
        <f>IF(B229="","",IFERROR(INDEX(Equipamentos!$C$5:$C$10,MATCH(B229,Equipamentos!$A$5:$A$10,0)),0))</f>
        <v/>
      </c>
      <c r="O229" s="14">
        <f>IF(B229="","",M229*N229)</f>
        <v/>
      </c>
      <c r="P229" s="9" t="n"/>
    </row>
    <row r="230">
      <c r="A230" s="15" t="n"/>
      <c r="B230" s="9" t="n"/>
      <c r="C230" s="9" t="n"/>
      <c r="D230" s="9" t="n"/>
      <c r="E230" s="16" t="n"/>
      <c r="F230" s="16" t="n"/>
      <c r="G230" s="16" t="n"/>
      <c r="H230" s="17" t="n"/>
      <c r="I230" s="17" t="n"/>
      <c r="J230" s="9" t="n"/>
      <c r="K230" s="13">
        <f>IF(OR(E230="",F230=""),"",ROUND((MOD(F230-E230,1)-N(G230))*24,2))</f>
        <v/>
      </c>
      <c r="L230" s="13">
        <f>IF(OR(H230="",I230=""),"",I230-H230)</f>
        <v/>
      </c>
      <c r="M230" s="13">
        <f>IF(B230="","",IF(J230="Parado - cliente",IFERROR(INDEX(Equipamentos!$D$5:$D$10,MATCH(B230,Equipamentos!$A$5:$A$10,0)),0),IF(OR(J230="Parado - manutenção",J230="Sem serviço"),0,MAX(N(K230),IFERROR(INDEX(Equipamentos!$D$5:$D$10,MATCH(B230,Equipamentos!$A$5:$A$10,0)),0)))))</f>
        <v/>
      </c>
      <c r="N230" s="14">
        <f>IF(B230="","",IFERROR(INDEX(Equipamentos!$C$5:$C$10,MATCH(B230,Equipamentos!$A$5:$A$10,0)),0))</f>
        <v/>
      </c>
      <c r="O230" s="14">
        <f>IF(B230="","",M230*N230)</f>
        <v/>
      </c>
      <c r="P230" s="9" t="n"/>
    </row>
    <row r="231">
      <c r="A231" s="15" t="n"/>
      <c r="B231" s="9" t="n"/>
      <c r="C231" s="9" t="n"/>
      <c r="D231" s="9" t="n"/>
      <c r="E231" s="16" t="n"/>
      <c r="F231" s="16" t="n"/>
      <c r="G231" s="16" t="n"/>
      <c r="H231" s="17" t="n"/>
      <c r="I231" s="17" t="n"/>
      <c r="J231" s="9" t="n"/>
      <c r="K231" s="13">
        <f>IF(OR(E231="",F231=""),"",ROUND((MOD(F231-E231,1)-N(G231))*24,2))</f>
        <v/>
      </c>
      <c r="L231" s="13">
        <f>IF(OR(H231="",I231=""),"",I231-H231)</f>
        <v/>
      </c>
      <c r="M231" s="13">
        <f>IF(B231="","",IF(J231="Parado - cliente",IFERROR(INDEX(Equipamentos!$D$5:$D$10,MATCH(B231,Equipamentos!$A$5:$A$10,0)),0),IF(OR(J231="Parado - manutenção",J231="Sem serviço"),0,MAX(N(K231),IFERROR(INDEX(Equipamentos!$D$5:$D$10,MATCH(B231,Equipamentos!$A$5:$A$10,0)),0)))))</f>
        <v/>
      </c>
      <c r="N231" s="14">
        <f>IF(B231="","",IFERROR(INDEX(Equipamentos!$C$5:$C$10,MATCH(B231,Equipamentos!$A$5:$A$10,0)),0))</f>
        <v/>
      </c>
      <c r="O231" s="14">
        <f>IF(B231="","",M231*N231)</f>
        <v/>
      </c>
      <c r="P231" s="9" t="n"/>
    </row>
    <row r="232">
      <c r="A232" s="15" t="n"/>
      <c r="B232" s="9" t="n"/>
      <c r="C232" s="9" t="n"/>
      <c r="D232" s="9" t="n"/>
      <c r="E232" s="16" t="n"/>
      <c r="F232" s="16" t="n"/>
      <c r="G232" s="16" t="n"/>
      <c r="H232" s="17" t="n"/>
      <c r="I232" s="17" t="n"/>
      <c r="J232" s="9" t="n"/>
      <c r="K232" s="13">
        <f>IF(OR(E232="",F232=""),"",ROUND((MOD(F232-E232,1)-N(G232))*24,2))</f>
        <v/>
      </c>
      <c r="L232" s="13">
        <f>IF(OR(H232="",I232=""),"",I232-H232)</f>
        <v/>
      </c>
      <c r="M232" s="13">
        <f>IF(B232="","",IF(J232="Parado - cliente",IFERROR(INDEX(Equipamentos!$D$5:$D$10,MATCH(B232,Equipamentos!$A$5:$A$10,0)),0),IF(OR(J232="Parado - manutenção",J232="Sem serviço"),0,MAX(N(K232),IFERROR(INDEX(Equipamentos!$D$5:$D$10,MATCH(B232,Equipamentos!$A$5:$A$10,0)),0)))))</f>
        <v/>
      </c>
      <c r="N232" s="14">
        <f>IF(B232="","",IFERROR(INDEX(Equipamentos!$C$5:$C$10,MATCH(B232,Equipamentos!$A$5:$A$10,0)),0))</f>
        <v/>
      </c>
      <c r="O232" s="14">
        <f>IF(B232="","",M232*N232)</f>
        <v/>
      </c>
      <c r="P232" s="9" t="n"/>
    </row>
    <row r="233">
      <c r="A233" s="15" t="n"/>
      <c r="B233" s="9" t="n"/>
      <c r="C233" s="9" t="n"/>
      <c r="D233" s="9" t="n"/>
      <c r="E233" s="16" t="n"/>
      <c r="F233" s="16" t="n"/>
      <c r="G233" s="16" t="n"/>
      <c r="H233" s="17" t="n"/>
      <c r="I233" s="17" t="n"/>
      <c r="J233" s="9" t="n"/>
      <c r="K233" s="13">
        <f>IF(OR(E233="",F233=""),"",ROUND((MOD(F233-E233,1)-N(G233))*24,2))</f>
        <v/>
      </c>
      <c r="L233" s="13">
        <f>IF(OR(H233="",I233=""),"",I233-H233)</f>
        <v/>
      </c>
      <c r="M233" s="13">
        <f>IF(B233="","",IF(J233="Parado - cliente",IFERROR(INDEX(Equipamentos!$D$5:$D$10,MATCH(B233,Equipamentos!$A$5:$A$10,0)),0),IF(OR(J233="Parado - manutenção",J233="Sem serviço"),0,MAX(N(K233),IFERROR(INDEX(Equipamentos!$D$5:$D$10,MATCH(B233,Equipamentos!$A$5:$A$10,0)),0)))))</f>
        <v/>
      </c>
      <c r="N233" s="14">
        <f>IF(B233="","",IFERROR(INDEX(Equipamentos!$C$5:$C$10,MATCH(B233,Equipamentos!$A$5:$A$10,0)),0))</f>
        <v/>
      </c>
      <c r="O233" s="14">
        <f>IF(B233="","",M233*N233)</f>
        <v/>
      </c>
      <c r="P233" s="9" t="n"/>
    </row>
    <row r="234">
      <c r="A234" s="15" t="n"/>
      <c r="B234" s="9" t="n"/>
      <c r="C234" s="9" t="n"/>
      <c r="D234" s="9" t="n"/>
      <c r="E234" s="16" t="n"/>
      <c r="F234" s="16" t="n"/>
      <c r="G234" s="16" t="n"/>
      <c r="H234" s="17" t="n"/>
      <c r="I234" s="17" t="n"/>
      <c r="J234" s="9" t="n"/>
      <c r="K234" s="13">
        <f>IF(OR(E234="",F234=""),"",ROUND((MOD(F234-E234,1)-N(G234))*24,2))</f>
        <v/>
      </c>
      <c r="L234" s="13">
        <f>IF(OR(H234="",I234=""),"",I234-H234)</f>
        <v/>
      </c>
      <c r="M234" s="13">
        <f>IF(B234="","",IF(J234="Parado - cliente",IFERROR(INDEX(Equipamentos!$D$5:$D$10,MATCH(B234,Equipamentos!$A$5:$A$10,0)),0),IF(OR(J234="Parado - manutenção",J234="Sem serviço"),0,MAX(N(K234),IFERROR(INDEX(Equipamentos!$D$5:$D$10,MATCH(B234,Equipamentos!$A$5:$A$10,0)),0)))))</f>
        <v/>
      </c>
      <c r="N234" s="14">
        <f>IF(B234="","",IFERROR(INDEX(Equipamentos!$C$5:$C$10,MATCH(B234,Equipamentos!$A$5:$A$10,0)),0))</f>
        <v/>
      </c>
      <c r="O234" s="14">
        <f>IF(B234="","",M234*N234)</f>
        <v/>
      </c>
      <c r="P234" s="9" t="n"/>
    </row>
    <row r="235">
      <c r="A235" s="15" t="n"/>
      <c r="B235" s="9" t="n"/>
      <c r="C235" s="9" t="n"/>
      <c r="D235" s="9" t="n"/>
      <c r="E235" s="16" t="n"/>
      <c r="F235" s="16" t="n"/>
      <c r="G235" s="16" t="n"/>
      <c r="H235" s="17" t="n"/>
      <c r="I235" s="17" t="n"/>
      <c r="J235" s="9" t="n"/>
      <c r="K235" s="13">
        <f>IF(OR(E235="",F235=""),"",ROUND((MOD(F235-E235,1)-N(G235))*24,2))</f>
        <v/>
      </c>
      <c r="L235" s="13">
        <f>IF(OR(H235="",I235=""),"",I235-H235)</f>
        <v/>
      </c>
      <c r="M235" s="13">
        <f>IF(B235="","",IF(J235="Parado - cliente",IFERROR(INDEX(Equipamentos!$D$5:$D$10,MATCH(B235,Equipamentos!$A$5:$A$10,0)),0),IF(OR(J235="Parado - manutenção",J235="Sem serviço"),0,MAX(N(K235),IFERROR(INDEX(Equipamentos!$D$5:$D$10,MATCH(B235,Equipamentos!$A$5:$A$10,0)),0)))))</f>
        <v/>
      </c>
      <c r="N235" s="14">
        <f>IF(B235="","",IFERROR(INDEX(Equipamentos!$C$5:$C$10,MATCH(B235,Equipamentos!$A$5:$A$10,0)),0))</f>
        <v/>
      </c>
      <c r="O235" s="14">
        <f>IF(B235="","",M235*N235)</f>
        <v/>
      </c>
      <c r="P235" s="9" t="n"/>
    </row>
    <row r="236">
      <c r="A236" s="15" t="n"/>
      <c r="B236" s="9" t="n"/>
      <c r="C236" s="9" t="n"/>
      <c r="D236" s="9" t="n"/>
      <c r="E236" s="16" t="n"/>
      <c r="F236" s="16" t="n"/>
      <c r="G236" s="16" t="n"/>
      <c r="H236" s="17" t="n"/>
      <c r="I236" s="17" t="n"/>
      <c r="J236" s="9" t="n"/>
      <c r="K236" s="13">
        <f>IF(OR(E236="",F236=""),"",ROUND((MOD(F236-E236,1)-N(G236))*24,2))</f>
        <v/>
      </c>
      <c r="L236" s="13">
        <f>IF(OR(H236="",I236=""),"",I236-H236)</f>
        <v/>
      </c>
      <c r="M236" s="13">
        <f>IF(B236="","",IF(J236="Parado - cliente",IFERROR(INDEX(Equipamentos!$D$5:$D$10,MATCH(B236,Equipamentos!$A$5:$A$10,0)),0),IF(OR(J236="Parado - manutenção",J236="Sem serviço"),0,MAX(N(K236),IFERROR(INDEX(Equipamentos!$D$5:$D$10,MATCH(B236,Equipamentos!$A$5:$A$10,0)),0)))))</f>
        <v/>
      </c>
      <c r="N236" s="14">
        <f>IF(B236="","",IFERROR(INDEX(Equipamentos!$C$5:$C$10,MATCH(B236,Equipamentos!$A$5:$A$10,0)),0))</f>
        <v/>
      </c>
      <c r="O236" s="14">
        <f>IF(B236="","",M236*N236)</f>
        <v/>
      </c>
      <c r="P236" s="9" t="n"/>
    </row>
    <row r="237">
      <c r="A237" s="15" t="n"/>
      <c r="B237" s="9" t="n"/>
      <c r="C237" s="9" t="n"/>
      <c r="D237" s="9" t="n"/>
      <c r="E237" s="16" t="n"/>
      <c r="F237" s="16" t="n"/>
      <c r="G237" s="16" t="n"/>
      <c r="H237" s="17" t="n"/>
      <c r="I237" s="17" t="n"/>
      <c r="J237" s="9" t="n"/>
      <c r="K237" s="13">
        <f>IF(OR(E237="",F237=""),"",ROUND((MOD(F237-E237,1)-N(G237))*24,2))</f>
        <v/>
      </c>
      <c r="L237" s="13">
        <f>IF(OR(H237="",I237=""),"",I237-H237)</f>
        <v/>
      </c>
      <c r="M237" s="13">
        <f>IF(B237="","",IF(J237="Parado - cliente",IFERROR(INDEX(Equipamentos!$D$5:$D$10,MATCH(B237,Equipamentos!$A$5:$A$10,0)),0),IF(OR(J237="Parado - manutenção",J237="Sem serviço"),0,MAX(N(K237),IFERROR(INDEX(Equipamentos!$D$5:$D$10,MATCH(B237,Equipamentos!$A$5:$A$10,0)),0)))))</f>
        <v/>
      </c>
      <c r="N237" s="14">
        <f>IF(B237="","",IFERROR(INDEX(Equipamentos!$C$5:$C$10,MATCH(B237,Equipamentos!$A$5:$A$10,0)),0))</f>
        <v/>
      </c>
      <c r="O237" s="14">
        <f>IF(B237="","",M237*N237)</f>
        <v/>
      </c>
      <c r="P237" s="9" t="n"/>
    </row>
    <row r="238">
      <c r="A238" s="15" t="n"/>
      <c r="B238" s="9" t="n"/>
      <c r="C238" s="9" t="n"/>
      <c r="D238" s="9" t="n"/>
      <c r="E238" s="16" t="n"/>
      <c r="F238" s="16" t="n"/>
      <c r="G238" s="16" t="n"/>
      <c r="H238" s="17" t="n"/>
      <c r="I238" s="17" t="n"/>
      <c r="J238" s="9" t="n"/>
      <c r="K238" s="13">
        <f>IF(OR(E238="",F238=""),"",ROUND((MOD(F238-E238,1)-N(G238))*24,2))</f>
        <v/>
      </c>
      <c r="L238" s="13">
        <f>IF(OR(H238="",I238=""),"",I238-H238)</f>
        <v/>
      </c>
      <c r="M238" s="13">
        <f>IF(B238="","",IF(J238="Parado - cliente",IFERROR(INDEX(Equipamentos!$D$5:$D$10,MATCH(B238,Equipamentos!$A$5:$A$10,0)),0),IF(OR(J238="Parado - manutenção",J238="Sem serviço"),0,MAX(N(K238),IFERROR(INDEX(Equipamentos!$D$5:$D$10,MATCH(B238,Equipamentos!$A$5:$A$10,0)),0)))))</f>
        <v/>
      </c>
      <c r="N238" s="14">
        <f>IF(B238="","",IFERROR(INDEX(Equipamentos!$C$5:$C$10,MATCH(B238,Equipamentos!$A$5:$A$10,0)),0))</f>
        <v/>
      </c>
      <c r="O238" s="14">
        <f>IF(B238="","",M238*N238)</f>
        <v/>
      </c>
      <c r="P238" s="9" t="n"/>
    </row>
    <row r="239">
      <c r="A239" s="15" t="n"/>
      <c r="B239" s="9" t="n"/>
      <c r="C239" s="9" t="n"/>
      <c r="D239" s="9" t="n"/>
      <c r="E239" s="16" t="n"/>
      <c r="F239" s="16" t="n"/>
      <c r="G239" s="16" t="n"/>
      <c r="H239" s="17" t="n"/>
      <c r="I239" s="17" t="n"/>
      <c r="J239" s="9" t="n"/>
      <c r="K239" s="13">
        <f>IF(OR(E239="",F239=""),"",ROUND((MOD(F239-E239,1)-N(G239))*24,2))</f>
        <v/>
      </c>
      <c r="L239" s="13">
        <f>IF(OR(H239="",I239=""),"",I239-H239)</f>
        <v/>
      </c>
      <c r="M239" s="13">
        <f>IF(B239="","",IF(J239="Parado - cliente",IFERROR(INDEX(Equipamentos!$D$5:$D$10,MATCH(B239,Equipamentos!$A$5:$A$10,0)),0),IF(OR(J239="Parado - manutenção",J239="Sem serviço"),0,MAX(N(K239),IFERROR(INDEX(Equipamentos!$D$5:$D$10,MATCH(B239,Equipamentos!$A$5:$A$10,0)),0)))))</f>
        <v/>
      </c>
      <c r="N239" s="14">
        <f>IF(B239="","",IFERROR(INDEX(Equipamentos!$C$5:$C$10,MATCH(B239,Equipamentos!$A$5:$A$10,0)),0))</f>
        <v/>
      </c>
      <c r="O239" s="14">
        <f>IF(B239="","",M239*N239)</f>
        <v/>
      </c>
      <c r="P239" s="9" t="n"/>
    </row>
    <row r="240">
      <c r="A240" s="15" t="n"/>
      <c r="B240" s="9" t="n"/>
      <c r="C240" s="9" t="n"/>
      <c r="D240" s="9" t="n"/>
      <c r="E240" s="16" t="n"/>
      <c r="F240" s="16" t="n"/>
      <c r="G240" s="16" t="n"/>
      <c r="H240" s="17" t="n"/>
      <c r="I240" s="17" t="n"/>
      <c r="J240" s="9" t="n"/>
      <c r="K240" s="13">
        <f>IF(OR(E240="",F240=""),"",ROUND((MOD(F240-E240,1)-N(G240))*24,2))</f>
        <v/>
      </c>
      <c r="L240" s="13">
        <f>IF(OR(H240="",I240=""),"",I240-H240)</f>
        <v/>
      </c>
      <c r="M240" s="13">
        <f>IF(B240="","",IF(J240="Parado - cliente",IFERROR(INDEX(Equipamentos!$D$5:$D$10,MATCH(B240,Equipamentos!$A$5:$A$10,0)),0),IF(OR(J240="Parado - manutenção",J240="Sem serviço"),0,MAX(N(K240),IFERROR(INDEX(Equipamentos!$D$5:$D$10,MATCH(B240,Equipamentos!$A$5:$A$10,0)),0)))))</f>
        <v/>
      </c>
      <c r="N240" s="14">
        <f>IF(B240="","",IFERROR(INDEX(Equipamentos!$C$5:$C$10,MATCH(B240,Equipamentos!$A$5:$A$10,0)),0))</f>
        <v/>
      </c>
      <c r="O240" s="14">
        <f>IF(B240="","",M240*N240)</f>
        <v/>
      </c>
      <c r="P240" s="9" t="n"/>
    </row>
    <row r="241">
      <c r="A241" s="15" t="n"/>
      <c r="B241" s="9" t="n"/>
      <c r="C241" s="9" t="n"/>
      <c r="D241" s="9" t="n"/>
      <c r="E241" s="16" t="n"/>
      <c r="F241" s="16" t="n"/>
      <c r="G241" s="16" t="n"/>
      <c r="H241" s="17" t="n"/>
      <c r="I241" s="17" t="n"/>
      <c r="J241" s="9" t="n"/>
      <c r="K241" s="13">
        <f>IF(OR(E241="",F241=""),"",ROUND((MOD(F241-E241,1)-N(G241))*24,2))</f>
        <v/>
      </c>
      <c r="L241" s="13">
        <f>IF(OR(H241="",I241=""),"",I241-H241)</f>
        <v/>
      </c>
      <c r="M241" s="13">
        <f>IF(B241="","",IF(J241="Parado - cliente",IFERROR(INDEX(Equipamentos!$D$5:$D$10,MATCH(B241,Equipamentos!$A$5:$A$10,0)),0),IF(OR(J241="Parado - manutenção",J241="Sem serviço"),0,MAX(N(K241),IFERROR(INDEX(Equipamentos!$D$5:$D$10,MATCH(B241,Equipamentos!$A$5:$A$10,0)),0)))))</f>
        <v/>
      </c>
      <c r="N241" s="14">
        <f>IF(B241="","",IFERROR(INDEX(Equipamentos!$C$5:$C$10,MATCH(B241,Equipamentos!$A$5:$A$10,0)),0))</f>
        <v/>
      </c>
      <c r="O241" s="14">
        <f>IF(B241="","",M241*N241)</f>
        <v/>
      </c>
      <c r="P241" s="9" t="n"/>
    </row>
    <row r="242">
      <c r="A242" s="15" t="n"/>
      <c r="B242" s="9" t="n"/>
      <c r="C242" s="9" t="n"/>
      <c r="D242" s="9" t="n"/>
      <c r="E242" s="16" t="n"/>
      <c r="F242" s="16" t="n"/>
      <c r="G242" s="16" t="n"/>
      <c r="H242" s="17" t="n"/>
      <c r="I242" s="17" t="n"/>
      <c r="J242" s="9" t="n"/>
      <c r="K242" s="13">
        <f>IF(OR(E242="",F242=""),"",ROUND((MOD(F242-E242,1)-N(G242))*24,2))</f>
        <v/>
      </c>
      <c r="L242" s="13">
        <f>IF(OR(H242="",I242=""),"",I242-H242)</f>
        <v/>
      </c>
      <c r="M242" s="13">
        <f>IF(B242="","",IF(J242="Parado - cliente",IFERROR(INDEX(Equipamentos!$D$5:$D$10,MATCH(B242,Equipamentos!$A$5:$A$10,0)),0),IF(OR(J242="Parado - manutenção",J242="Sem serviço"),0,MAX(N(K242),IFERROR(INDEX(Equipamentos!$D$5:$D$10,MATCH(B242,Equipamentos!$A$5:$A$10,0)),0)))))</f>
        <v/>
      </c>
      <c r="N242" s="14">
        <f>IF(B242="","",IFERROR(INDEX(Equipamentos!$C$5:$C$10,MATCH(B242,Equipamentos!$A$5:$A$10,0)),0))</f>
        <v/>
      </c>
      <c r="O242" s="14">
        <f>IF(B242="","",M242*N242)</f>
        <v/>
      </c>
      <c r="P242" s="9" t="n"/>
    </row>
    <row r="243">
      <c r="A243" s="15" t="n"/>
      <c r="B243" s="9" t="n"/>
      <c r="C243" s="9" t="n"/>
      <c r="D243" s="9" t="n"/>
      <c r="E243" s="16" t="n"/>
      <c r="F243" s="16" t="n"/>
      <c r="G243" s="16" t="n"/>
      <c r="H243" s="17" t="n"/>
      <c r="I243" s="17" t="n"/>
      <c r="J243" s="9" t="n"/>
      <c r="K243" s="13">
        <f>IF(OR(E243="",F243=""),"",ROUND((MOD(F243-E243,1)-N(G243))*24,2))</f>
        <v/>
      </c>
      <c r="L243" s="13">
        <f>IF(OR(H243="",I243=""),"",I243-H243)</f>
        <v/>
      </c>
      <c r="M243" s="13">
        <f>IF(B243="","",IF(J243="Parado - cliente",IFERROR(INDEX(Equipamentos!$D$5:$D$10,MATCH(B243,Equipamentos!$A$5:$A$10,0)),0),IF(OR(J243="Parado - manutenção",J243="Sem serviço"),0,MAX(N(K243),IFERROR(INDEX(Equipamentos!$D$5:$D$10,MATCH(B243,Equipamentos!$A$5:$A$10,0)),0)))))</f>
        <v/>
      </c>
      <c r="N243" s="14">
        <f>IF(B243="","",IFERROR(INDEX(Equipamentos!$C$5:$C$10,MATCH(B243,Equipamentos!$A$5:$A$10,0)),0))</f>
        <v/>
      </c>
      <c r="O243" s="14">
        <f>IF(B243="","",M243*N243)</f>
        <v/>
      </c>
      <c r="P243" s="9" t="n"/>
    </row>
    <row r="244">
      <c r="A244" s="15" t="n"/>
      <c r="B244" s="9" t="n"/>
      <c r="C244" s="9" t="n"/>
      <c r="D244" s="9" t="n"/>
      <c r="E244" s="16" t="n"/>
      <c r="F244" s="16" t="n"/>
      <c r="G244" s="16" t="n"/>
      <c r="H244" s="17" t="n"/>
      <c r="I244" s="17" t="n"/>
      <c r="J244" s="9" t="n"/>
      <c r="K244" s="13">
        <f>IF(OR(E244="",F244=""),"",ROUND((MOD(F244-E244,1)-N(G244))*24,2))</f>
        <v/>
      </c>
      <c r="L244" s="13">
        <f>IF(OR(H244="",I244=""),"",I244-H244)</f>
        <v/>
      </c>
      <c r="M244" s="13">
        <f>IF(B244="","",IF(J244="Parado - cliente",IFERROR(INDEX(Equipamentos!$D$5:$D$10,MATCH(B244,Equipamentos!$A$5:$A$10,0)),0),IF(OR(J244="Parado - manutenção",J244="Sem serviço"),0,MAX(N(K244),IFERROR(INDEX(Equipamentos!$D$5:$D$10,MATCH(B244,Equipamentos!$A$5:$A$10,0)),0)))))</f>
        <v/>
      </c>
      <c r="N244" s="14">
        <f>IF(B244="","",IFERROR(INDEX(Equipamentos!$C$5:$C$10,MATCH(B244,Equipamentos!$A$5:$A$10,0)),0))</f>
        <v/>
      </c>
      <c r="O244" s="14">
        <f>IF(B244="","",M244*N244)</f>
        <v/>
      </c>
      <c r="P244" s="9" t="n"/>
    </row>
    <row r="245">
      <c r="A245" s="15" t="n"/>
      <c r="B245" s="9" t="n"/>
      <c r="C245" s="9" t="n"/>
      <c r="D245" s="9" t="n"/>
      <c r="E245" s="16" t="n"/>
      <c r="F245" s="16" t="n"/>
      <c r="G245" s="16" t="n"/>
      <c r="H245" s="17" t="n"/>
      <c r="I245" s="17" t="n"/>
      <c r="J245" s="9" t="n"/>
      <c r="K245" s="13">
        <f>IF(OR(E245="",F245=""),"",ROUND((MOD(F245-E245,1)-N(G245))*24,2))</f>
        <v/>
      </c>
      <c r="L245" s="13">
        <f>IF(OR(H245="",I245=""),"",I245-H245)</f>
        <v/>
      </c>
      <c r="M245" s="13">
        <f>IF(B245="","",IF(J245="Parado - cliente",IFERROR(INDEX(Equipamentos!$D$5:$D$10,MATCH(B245,Equipamentos!$A$5:$A$10,0)),0),IF(OR(J245="Parado - manutenção",J245="Sem serviço"),0,MAX(N(K245),IFERROR(INDEX(Equipamentos!$D$5:$D$10,MATCH(B245,Equipamentos!$A$5:$A$10,0)),0)))))</f>
        <v/>
      </c>
      <c r="N245" s="14">
        <f>IF(B245="","",IFERROR(INDEX(Equipamentos!$C$5:$C$10,MATCH(B245,Equipamentos!$A$5:$A$10,0)),0))</f>
        <v/>
      </c>
      <c r="O245" s="14">
        <f>IF(B245="","",M245*N245)</f>
        <v/>
      </c>
      <c r="P245" s="9" t="n"/>
    </row>
    <row r="246">
      <c r="A246" s="15" t="n"/>
      <c r="B246" s="9" t="n"/>
      <c r="C246" s="9" t="n"/>
      <c r="D246" s="9" t="n"/>
      <c r="E246" s="16" t="n"/>
      <c r="F246" s="16" t="n"/>
      <c r="G246" s="16" t="n"/>
      <c r="H246" s="17" t="n"/>
      <c r="I246" s="17" t="n"/>
      <c r="J246" s="9" t="n"/>
      <c r="K246" s="13">
        <f>IF(OR(E246="",F246=""),"",ROUND((MOD(F246-E246,1)-N(G246))*24,2))</f>
        <v/>
      </c>
      <c r="L246" s="13">
        <f>IF(OR(H246="",I246=""),"",I246-H246)</f>
        <v/>
      </c>
      <c r="M246" s="13">
        <f>IF(B246="","",IF(J246="Parado - cliente",IFERROR(INDEX(Equipamentos!$D$5:$D$10,MATCH(B246,Equipamentos!$A$5:$A$10,0)),0),IF(OR(J246="Parado - manutenção",J246="Sem serviço"),0,MAX(N(K246),IFERROR(INDEX(Equipamentos!$D$5:$D$10,MATCH(B246,Equipamentos!$A$5:$A$10,0)),0)))))</f>
        <v/>
      </c>
      <c r="N246" s="14">
        <f>IF(B246="","",IFERROR(INDEX(Equipamentos!$C$5:$C$10,MATCH(B246,Equipamentos!$A$5:$A$10,0)),0))</f>
        <v/>
      </c>
      <c r="O246" s="14">
        <f>IF(B246="","",M246*N246)</f>
        <v/>
      </c>
      <c r="P246" s="9" t="n"/>
    </row>
    <row r="247">
      <c r="A247" s="15" t="n"/>
      <c r="B247" s="9" t="n"/>
      <c r="C247" s="9" t="n"/>
      <c r="D247" s="9" t="n"/>
      <c r="E247" s="16" t="n"/>
      <c r="F247" s="16" t="n"/>
      <c r="G247" s="16" t="n"/>
      <c r="H247" s="17" t="n"/>
      <c r="I247" s="17" t="n"/>
      <c r="J247" s="9" t="n"/>
      <c r="K247" s="13">
        <f>IF(OR(E247="",F247=""),"",ROUND((MOD(F247-E247,1)-N(G247))*24,2))</f>
        <v/>
      </c>
      <c r="L247" s="13">
        <f>IF(OR(H247="",I247=""),"",I247-H247)</f>
        <v/>
      </c>
      <c r="M247" s="13">
        <f>IF(B247="","",IF(J247="Parado - cliente",IFERROR(INDEX(Equipamentos!$D$5:$D$10,MATCH(B247,Equipamentos!$A$5:$A$10,0)),0),IF(OR(J247="Parado - manutenção",J247="Sem serviço"),0,MAX(N(K247),IFERROR(INDEX(Equipamentos!$D$5:$D$10,MATCH(B247,Equipamentos!$A$5:$A$10,0)),0)))))</f>
        <v/>
      </c>
      <c r="N247" s="14">
        <f>IF(B247="","",IFERROR(INDEX(Equipamentos!$C$5:$C$10,MATCH(B247,Equipamentos!$A$5:$A$10,0)),0))</f>
        <v/>
      </c>
      <c r="O247" s="14">
        <f>IF(B247="","",M247*N247)</f>
        <v/>
      </c>
      <c r="P247" s="9" t="n"/>
    </row>
    <row r="248">
      <c r="A248" s="15" t="n"/>
      <c r="B248" s="9" t="n"/>
      <c r="C248" s="9" t="n"/>
      <c r="D248" s="9" t="n"/>
      <c r="E248" s="16" t="n"/>
      <c r="F248" s="16" t="n"/>
      <c r="G248" s="16" t="n"/>
      <c r="H248" s="17" t="n"/>
      <c r="I248" s="17" t="n"/>
      <c r="J248" s="9" t="n"/>
      <c r="K248" s="13">
        <f>IF(OR(E248="",F248=""),"",ROUND((MOD(F248-E248,1)-N(G248))*24,2))</f>
        <v/>
      </c>
      <c r="L248" s="13">
        <f>IF(OR(H248="",I248=""),"",I248-H248)</f>
        <v/>
      </c>
      <c r="M248" s="13">
        <f>IF(B248="","",IF(J248="Parado - cliente",IFERROR(INDEX(Equipamentos!$D$5:$D$10,MATCH(B248,Equipamentos!$A$5:$A$10,0)),0),IF(OR(J248="Parado - manutenção",J248="Sem serviço"),0,MAX(N(K248),IFERROR(INDEX(Equipamentos!$D$5:$D$10,MATCH(B248,Equipamentos!$A$5:$A$10,0)),0)))))</f>
        <v/>
      </c>
      <c r="N248" s="14">
        <f>IF(B248="","",IFERROR(INDEX(Equipamentos!$C$5:$C$10,MATCH(B248,Equipamentos!$A$5:$A$10,0)),0))</f>
        <v/>
      </c>
      <c r="O248" s="14">
        <f>IF(B248="","",M248*N248)</f>
        <v/>
      </c>
      <c r="P248" s="9" t="n"/>
    </row>
    <row r="249">
      <c r="A249" s="15" t="n"/>
      <c r="B249" s="9" t="n"/>
      <c r="C249" s="9" t="n"/>
      <c r="D249" s="9" t="n"/>
      <c r="E249" s="16" t="n"/>
      <c r="F249" s="16" t="n"/>
      <c r="G249" s="16" t="n"/>
      <c r="H249" s="17" t="n"/>
      <c r="I249" s="17" t="n"/>
      <c r="J249" s="9" t="n"/>
      <c r="K249" s="13">
        <f>IF(OR(E249="",F249=""),"",ROUND((MOD(F249-E249,1)-N(G249))*24,2))</f>
        <v/>
      </c>
      <c r="L249" s="13">
        <f>IF(OR(H249="",I249=""),"",I249-H249)</f>
        <v/>
      </c>
      <c r="M249" s="13">
        <f>IF(B249="","",IF(J249="Parado - cliente",IFERROR(INDEX(Equipamentos!$D$5:$D$10,MATCH(B249,Equipamentos!$A$5:$A$10,0)),0),IF(OR(J249="Parado - manutenção",J249="Sem serviço"),0,MAX(N(K249),IFERROR(INDEX(Equipamentos!$D$5:$D$10,MATCH(B249,Equipamentos!$A$5:$A$10,0)),0)))))</f>
        <v/>
      </c>
      <c r="N249" s="14">
        <f>IF(B249="","",IFERROR(INDEX(Equipamentos!$C$5:$C$10,MATCH(B249,Equipamentos!$A$5:$A$10,0)),0))</f>
        <v/>
      </c>
      <c r="O249" s="14">
        <f>IF(B249="","",M249*N249)</f>
        <v/>
      </c>
      <c r="P249" s="9" t="n"/>
    </row>
    <row r="250">
      <c r="A250" s="15" t="n"/>
      <c r="B250" s="9" t="n"/>
      <c r="C250" s="9" t="n"/>
      <c r="D250" s="9" t="n"/>
      <c r="E250" s="16" t="n"/>
      <c r="F250" s="16" t="n"/>
      <c r="G250" s="16" t="n"/>
      <c r="H250" s="17" t="n"/>
      <c r="I250" s="17" t="n"/>
      <c r="J250" s="9" t="n"/>
      <c r="K250" s="13">
        <f>IF(OR(E250="",F250=""),"",ROUND((MOD(F250-E250,1)-N(G250))*24,2))</f>
        <v/>
      </c>
      <c r="L250" s="13">
        <f>IF(OR(H250="",I250=""),"",I250-H250)</f>
        <v/>
      </c>
      <c r="M250" s="13">
        <f>IF(B250="","",IF(J250="Parado - cliente",IFERROR(INDEX(Equipamentos!$D$5:$D$10,MATCH(B250,Equipamentos!$A$5:$A$10,0)),0),IF(OR(J250="Parado - manutenção",J250="Sem serviço"),0,MAX(N(K250),IFERROR(INDEX(Equipamentos!$D$5:$D$10,MATCH(B250,Equipamentos!$A$5:$A$10,0)),0)))))</f>
        <v/>
      </c>
      <c r="N250" s="14">
        <f>IF(B250="","",IFERROR(INDEX(Equipamentos!$C$5:$C$10,MATCH(B250,Equipamentos!$A$5:$A$10,0)),0))</f>
        <v/>
      </c>
      <c r="O250" s="14">
        <f>IF(B250="","",M250*N250)</f>
        <v/>
      </c>
      <c r="P250" s="9" t="n"/>
    </row>
    <row r="251">
      <c r="A251" s="15" t="n"/>
      <c r="B251" s="9" t="n"/>
      <c r="C251" s="9" t="n"/>
      <c r="D251" s="9" t="n"/>
      <c r="E251" s="16" t="n"/>
      <c r="F251" s="16" t="n"/>
      <c r="G251" s="16" t="n"/>
      <c r="H251" s="17" t="n"/>
      <c r="I251" s="17" t="n"/>
      <c r="J251" s="9" t="n"/>
      <c r="K251" s="13">
        <f>IF(OR(E251="",F251=""),"",ROUND((MOD(F251-E251,1)-N(G251))*24,2))</f>
        <v/>
      </c>
      <c r="L251" s="13">
        <f>IF(OR(H251="",I251=""),"",I251-H251)</f>
        <v/>
      </c>
      <c r="M251" s="13">
        <f>IF(B251="","",IF(J251="Parado - cliente",IFERROR(INDEX(Equipamentos!$D$5:$D$10,MATCH(B251,Equipamentos!$A$5:$A$10,0)),0),IF(OR(J251="Parado - manutenção",J251="Sem serviço"),0,MAX(N(K251),IFERROR(INDEX(Equipamentos!$D$5:$D$10,MATCH(B251,Equipamentos!$A$5:$A$10,0)),0)))))</f>
        <v/>
      </c>
      <c r="N251" s="14">
        <f>IF(B251="","",IFERROR(INDEX(Equipamentos!$C$5:$C$10,MATCH(B251,Equipamentos!$A$5:$A$10,0)),0))</f>
        <v/>
      </c>
      <c r="O251" s="14">
        <f>IF(B251="","",M251*N251)</f>
        <v/>
      </c>
      <c r="P251" s="9" t="n"/>
    </row>
    <row r="252">
      <c r="A252" s="15" t="n"/>
      <c r="B252" s="9" t="n"/>
      <c r="C252" s="9" t="n"/>
      <c r="D252" s="9" t="n"/>
      <c r="E252" s="16" t="n"/>
      <c r="F252" s="16" t="n"/>
      <c r="G252" s="16" t="n"/>
      <c r="H252" s="17" t="n"/>
      <c r="I252" s="17" t="n"/>
      <c r="J252" s="9" t="n"/>
      <c r="K252" s="13">
        <f>IF(OR(E252="",F252=""),"",ROUND((MOD(F252-E252,1)-N(G252))*24,2))</f>
        <v/>
      </c>
      <c r="L252" s="13">
        <f>IF(OR(H252="",I252=""),"",I252-H252)</f>
        <v/>
      </c>
      <c r="M252" s="13">
        <f>IF(B252="","",IF(J252="Parado - cliente",IFERROR(INDEX(Equipamentos!$D$5:$D$10,MATCH(B252,Equipamentos!$A$5:$A$10,0)),0),IF(OR(J252="Parado - manutenção",J252="Sem serviço"),0,MAX(N(K252),IFERROR(INDEX(Equipamentos!$D$5:$D$10,MATCH(B252,Equipamentos!$A$5:$A$10,0)),0)))))</f>
        <v/>
      </c>
      <c r="N252" s="14">
        <f>IF(B252="","",IFERROR(INDEX(Equipamentos!$C$5:$C$10,MATCH(B252,Equipamentos!$A$5:$A$10,0)),0))</f>
        <v/>
      </c>
      <c r="O252" s="14">
        <f>IF(B252="","",M252*N252)</f>
        <v/>
      </c>
      <c r="P252" s="9" t="n"/>
    </row>
    <row r="253">
      <c r="A253" s="15" t="n"/>
      <c r="B253" s="9" t="n"/>
      <c r="C253" s="9" t="n"/>
      <c r="D253" s="9" t="n"/>
      <c r="E253" s="16" t="n"/>
      <c r="F253" s="16" t="n"/>
      <c r="G253" s="16" t="n"/>
      <c r="H253" s="17" t="n"/>
      <c r="I253" s="17" t="n"/>
      <c r="J253" s="9" t="n"/>
      <c r="K253" s="13">
        <f>IF(OR(E253="",F253=""),"",ROUND((MOD(F253-E253,1)-N(G253))*24,2))</f>
        <v/>
      </c>
      <c r="L253" s="13">
        <f>IF(OR(H253="",I253=""),"",I253-H253)</f>
        <v/>
      </c>
      <c r="M253" s="13">
        <f>IF(B253="","",IF(J253="Parado - cliente",IFERROR(INDEX(Equipamentos!$D$5:$D$10,MATCH(B253,Equipamentos!$A$5:$A$10,0)),0),IF(OR(J253="Parado - manutenção",J253="Sem serviço"),0,MAX(N(K253),IFERROR(INDEX(Equipamentos!$D$5:$D$10,MATCH(B253,Equipamentos!$A$5:$A$10,0)),0)))))</f>
        <v/>
      </c>
      <c r="N253" s="14">
        <f>IF(B253="","",IFERROR(INDEX(Equipamentos!$C$5:$C$10,MATCH(B253,Equipamentos!$A$5:$A$10,0)),0))</f>
        <v/>
      </c>
      <c r="O253" s="14">
        <f>IF(B253="","",M253*N253)</f>
        <v/>
      </c>
      <c r="P253" s="9" t="n"/>
    </row>
    <row r="254">
      <c r="A254" s="15" t="n"/>
      <c r="B254" s="9" t="n"/>
      <c r="C254" s="9" t="n"/>
      <c r="D254" s="9" t="n"/>
      <c r="E254" s="16" t="n"/>
      <c r="F254" s="16" t="n"/>
      <c r="G254" s="16" t="n"/>
      <c r="H254" s="17" t="n"/>
      <c r="I254" s="17" t="n"/>
      <c r="J254" s="9" t="n"/>
      <c r="K254" s="13">
        <f>IF(OR(E254="",F254=""),"",ROUND((MOD(F254-E254,1)-N(G254))*24,2))</f>
        <v/>
      </c>
      <c r="L254" s="13">
        <f>IF(OR(H254="",I254=""),"",I254-H254)</f>
        <v/>
      </c>
      <c r="M254" s="13">
        <f>IF(B254="","",IF(J254="Parado - cliente",IFERROR(INDEX(Equipamentos!$D$5:$D$10,MATCH(B254,Equipamentos!$A$5:$A$10,0)),0),IF(OR(J254="Parado - manutenção",J254="Sem serviço"),0,MAX(N(K254),IFERROR(INDEX(Equipamentos!$D$5:$D$10,MATCH(B254,Equipamentos!$A$5:$A$10,0)),0)))))</f>
        <v/>
      </c>
      <c r="N254" s="14">
        <f>IF(B254="","",IFERROR(INDEX(Equipamentos!$C$5:$C$10,MATCH(B254,Equipamentos!$A$5:$A$10,0)),0))</f>
        <v/>
      </c>
      <c r="O254" s="14">
        <f>IF(B254="","",M254*N254)</f>
        <v/>
      </c>
      <c r="P254" s="9" t="n"/>
    </row>
    <row r="255">
      <c r="A255" s="15" t="n"/>
      <c r="B255" s="9" t="n"/>
      <c r="C255" s="9" t="n"/>
      <c r="D255" s="9" t="n"/>
      <c r="E255" s="16" t="n"/>
      <c r="F255" s="16" t="n"/>
      <c r="G255" s="16" t="n"/>
      <c r="H255" s="17" t="n"/>
      <c r="I255" s="17" t="n"/>
      <c r="J255" s="9" t="n"/>
      <c r="K255" s="13">
        <f>IF(OR(E255="",F255=""),"",ROUND((MOD(F255-E255,1)-N(G255))*24,2))</f>
        <v/>
      </c>
      <c r="L255" s="13">
        <f>IF(OR(H255="",I255=""),"",I255-H255)</f>
        <v/>
      </c>
      <c r="M255" s="13">
        <f>IF(B255="","",IF(J255="Parado - cliente",IFERROR(INDEX(Equipamentos!$D$5:$D$10,MATCH(B255,Equipamentos!$A$5:$A$10,0)),0),IF(OR(J255="Parado - manutenção",J255="Sem serviço"),0,MAX(N(K255),IFERROR(INDEX(Equipamentos!$D$5:$D$10,MATCH(B255,Equipamentos!$A$5:$A$10,0)),0)))))</f>
        <v/>
      </c>
      <c r="N255" s="14">
        <f>IF(B255="","",IFERROR(INDEX(Equipamentos!$C$5:$C$10,MATCH(B255,Equipamentos!$A$5:$A$10,0)),0))</f>
        <v/>
      </c>
      <c r="O255" s="14">
        <f>IF(B255="","",M255*N255)</f>
        <v/>
      </c>
      <c r="P255" s="9" t="n"/>
    </row>
    <row r="256">
      <c r="A256" s="15" t="n"/>
      <c r="B256" s="9" t="n"/>
      <c r="C256" s="9" t="n"/>
      <c r="D256" s="9" t="n"/>
      <c r="E256" s="16" t="n"/>
      <c r="F256" s="16" t="n"/>
      <c r="G256" s="16" t="n"/>
      <c r="H256" s="17" t="n"/>
      <c r="I256" s="17" t="n"/>
      <c r="J256" s="9" t="n"/>
      <c r="K256" s="13">
        <f>IF(OR(E256="",F256=""),"",ROUND((MOD(F256-E256,1)-N(G256))*24,2))</f>
        <v/>
      </c>
      <c r="L256" s="13">
        <f>IF(OR(H256="",I256=""),"",I256-H256)</f>
        <v/>
      </c>
      <c r="M256" s="13">
        <f>IF(B256="","",IF(J256="Parado - cliente",IFERROR(INDEX(Equipamentos!$D$5:$D$10,MATCH(B256,Equipamentos!$A$5:$A$10,0)),0),IF(OR(J256="Parado - manutenção",J256="Sem serviço"),0,MAX(N(K256),IFERROR(INDEX(Equipamentos!$D$5:$D$10,MATCH(B256,Equipamentos!$A$5:$A$10,0)),0)))))</f>
        <v/>
      </c>
      <c r="N256" s="14">
        <f>IF(B256="","",IFERROR(INDEX(Equipamentos!$C$5:$C$10,MATCH(B256,Equipamentos!$A$5:$A$10,0)),0))</f>
        <v/>
      </c>
      <c r="O256" s="14">
        <f>IF(B256="","",M256*N256)</f>
        <v/>
      </c>
      <c r="P256" s="9" t="n"/>
    </row>
    <row r="257">
      <c r="A257" s="15" t="n"/>
      <c r="B257" s="9" t="n"/>
      <c r="C257" s="9" t="n"/>
      <c r="D257" s="9" t="n"/>
      <c r="E257" s="16" t="n"/>
      <c r="F257" s="16" t="n"/>
      <c r="G257" s="16" t="n"/>
      <c r="H257" s="17" t="n"/>
      <c r="I257" s="17" t="n"/>
      <c r="J257" s="9" t="n"/>
      <c r="K257" s="13">
        <f>IF(OR(E257="",F257=""),"",ROUND((MOD(F257-E257,1)-N(G257))*24,2))</f>
        <v/>
      </c>
      <c r="L257" s="13">
        <f>IF(OR(H257="",I257=""),"",I257-H257)</f>
        <v/>
      </c>
      <c r="M257" s="13">
        <f>IF(B257="","",IF(J257="Parado - cliente",IFERROR(INDEX(Equipamentos!$D$5:$D$10,MATCH(B257,Equipamentos!$A$5:$A$10,0)),0),IF(OR(J257="Parado - manutenção",J257="Sem serviço"),0,MAX(N(K257),IFERROR(INDEX(Equipamentos!$D$5:$D$10,MATCH(B257,Equipamentos!$A$5:$A$10,0)),0)))))</f>
        <v/>
      </c>
      <c r="N257" s="14">
        <f>IF(B257="","",IFERROR(INDEX(Equipamentos!$C$5:$C$10,MATCH(B257,Equipamentos!$A$5:$A$10,0)),0))</f>
        <v/>
      </c>
      <c r="O257" s="14">
        <f>IF(B257="","",M257*N257)</f>
        <v/>
      </c>
      <c r="P257" s="9" t="n"/>
    </row>
    <row r="258">
      <c r="A258" s="15" t="n"/>
      <c r="B258" s="9" t="n"/>
      <c r="C258" s="9" t="n"/>
      <c r="D258" s="9" t="n"/>
      <c r="E258" s="16" t="n"/>
      <c r="F258" s="16" t="n"/>
      <c r="G258" s="16" t="n"/>
      <c r="H258" s="17" t="n"/>
      <c r="I258" s="17" t="n"/>
      <c r="J258" s="9" t="n"/>
      <c r="K258" s="13">
        <f>IF(OR(E258="",F258=""),"",ROUND((MOD(F258-E258,1)-N(G258))*24,2))</f>
        <v/>
      </c>
      <c r="L258" s="13">
        <f>IF(OR(H258="",I258=""),"",I258-H258)</f>
        <v/>
      </c>
      <c r="M258" s="13">
        <f>IF(B258="","",IF(J258="Parado - cliente",IFERROR(INDEX(Equipamentos!$D$5:$D$10,MATCH(B258,Equipamentos!$A$5:$A$10,0)),0),IF(OR(J258="Parado - manutenção",J258="Sem serviço"),0,MAX(N(K258),IFERROR(INDEX(Equipamentos!$D$5:$D$10,MATCH(B258,Equipamentos!$A$5:$A$10,0)),0)))))</f>
        <v/>
      </c>
      <c r="N258" s="14">
        <f>IF(B258="","",IFERROR(INDEX(Equipamentos!$C$5:$C$10,MATCH(B258,Equipamentos!$A$5:$A$10,0)),0))</f>
        <v/>
      </c>
      <c r="O258" s="14">
        <f>IF(B258="","",M258*N258)</f>
        <v/>
      </c>
      <c r="P258" s="9" t="n"/>
    </row>
    <row r="259">
      <c r="A259" s="15" t="n"/>
      <c r="B259" s="9" t="n"/>
      <c r="C259" s="9" t="n"/>
      <c r="D259" s="9" t="n"/>
      <c r="E259" s="16" t="n"/>
      <c r="F259" s="16" t="n"/>
      <c r="G259" s="16" t="n"/>
      <c r="H259" s="17" t="n"/>
      <c r="I259" s="17" t="n"/>
      <c r="J259" s="9" t="n"/>
      <c r="K259" s="13">
        <f>IF(OR(E259="",F259=""),"",ROUND((MOD(F259-E259,1)-N(G259))*24,2))</f>
        <v/>
      </c>
      <c r="L259" s="13">
        <f>IF(OR(H259="",I259=""),"",I259-H259)</f>
        <v/>
      </c>
      <c r="M259" s="13">
        <f>IF(B259="","",IF(J259="Parado - cliente",IFERROR(INDEX(Equipamentos!$D$5:$D$10,MATCH(B259,Equipamentos!$A$5:$A$10,0)),0),IF(OR(J259="Parado - manutenção",J259="Sem serviço"),0,MAX(N(K259),IFERROR(INDEX(Equipamentos!$D$5:$D$10,MATCH(B259,Equipamentos!$A$5:$A$10,0)),0)))))</f>
        <v/>
      </c>
      <c r="N259" s="14">
        <f>IF(B259="","",IFERROR(INDEX(Equipamentos!$C$5:$C$10,MATCH(B259,Equipamentos!$A$5:$A$10,0)),0))</f>
        <v/>
      </c>
      <c r="O259" s="14">
        <f>IF(B259="","",M259*N259)</f>
        <v/>
      </c>
      <c r="P259" s="9" t="n"/>
    </row>
    <row r="260">
      <c r="A260" s="15" t="n"/>
      <c r="B260" s="9" t="n"/>
      <c r="C260" s="9" t="n"/>
      <c r="D260" s="9" t="n"/>
      <c r="E260" s="16" t="n"/>
      <c r="F260" s="16" t="n"/>
      <c r="G260" s="16" t="n"/>
      <c r="H260" s="17" t="n"/>
      <c r="I260" s="17" t="n"/>
      <c r="J260" s="9" t="n"/>
      <c r="K260" s="13">
        <f>IF(OR(E260="",F260=""),"",ROUND((MOD(F260-E260,1)-N(G260))*24,2))</f>
        <v/>
      </c>
      <c r="L260" s="13">
        <f>IF(OR(H260="",I260=""),"",I260-H260)</f>
        <v/>
      </c>
      <c r="M260" s="13">
        <f>IF(B260="","",IF(J260="Parado - cliente",IFERROR(INDEX(Equipamentos!$D$5:$D$10,MATCH(B260,Equipamentos!$A$5:$A$10,0)),0),IF(OR(J260="Parado - manutenção",J260="Sem serviço"),0,MAX(N(K260),IFERROR(INDEX(Equipamentos!$D$5:$D$10,MATCH(B260,Equipamentos!$A$5:$A$10,0)),0)))))</f>
        <v/>
      </c>
      <c r="N260" s="14">
        <f>IF(B260="","",IFERROR(INDEX(Equipamentos!$C$5:$C$10,MATCH(B260,Equipamentos!$A$5:$A$10,0)),0))</f>
        <v/>
      </c>
      <c r="O260" s="14">
        <f>IF(B260="","",M260*N260)</f>
        <v/>
      </c>
      <c r="P260" s="9" t="n"/>
    </row>
    <row r="261">
      <c r="A261" s="15" t="n"/>
      <c r="B261" s="9" t="n"/>
      <c r="C261" s="9" t="n"/>
      <c r="D261" s="9" t="n"/>
      <c r="E261" s="16" t="n"/>
      <c r="F261" s="16" t="n"/>
      <c r="G261" s="16" t="n"/>
      <c r="H261" s="17" t="n"/>
      <c r="I261" s="17" t="n"/>
      <c r="J261" s="9" t="n"/>
      <c r="K261" s="13">
        <f>IF(OR(E261="",F261=""),"",ROUND((MOD(F261-E261,1)-N(G261))*24,2))</f>
        <v/>
      </c>
      <c r="L261" s="13">
        <f>IF(OR(H261="",I261=""),"",I261-H261)</f>
        <v/>
      </c>
      <c r="M261" s="13">
        <f>IF(B261="","",IF(J261="Parado - cliente",IFERROR(INDEX(Equipamentos!$D$5:$D$10,MATCH(B261,Equipamentos!$A$5:$A$10,0)),0),IF(OR(J261="Parado - manutenção",J261="Sem serviço"),0,MAX(N(K261),IFERROR(INDEX(Equipamentos!$D$5:$D$10,MATCH(B261,Equipamentos!$A$5:$A$10,0)),0)))))</f>
        <v/>
      </c>
      <c r="N261" s="14">
        <f>IF(B261="","",IFERROR(INDEX(Equipamentos!$C$5:$C$10,MATCH(B261,Equipamentos!$A$5:$A$10,0)),0))</f>
        <v/>
      </c>
      <c r="O261" s="14">
        <f>IF(B261="","",M261*N261)</f>
        <v/>
      </c>
      <c r="P261" s="9" t="n"/>
    </row>
    <row r="262">
      <c r="A262" s="15" t="n"/>
      <c r="B262" s="9" t="n"/>
      <c r="C262" s="9" t="n"/>
      <c r="D262" s="9" t="n"/>
      <c r="E262" s="16" t="n"/>
      <c r="F262" s="16" t="n"/>
      <c r="G262" s="16" t="n"/>
      <c r="H262" s="17" t="n"/>
      <c r="I262" s="17" t="n"/>
      <c r="J262" s="9" t="n"/>
      <c r="K262" s="13">
        <f>IF(OR(E262="",F262=""),"",ROUND((MOD(F262-E262,1)-N(G262))*24,2))</f>
        <v/>
      </c>
      <c r="L262" s="13">
        <f>IF(OR(H262="",I262=""),"",I262-H262)</f>
        <v/>
      </c>
      <c r="M262" s="13">
        <f>IF(B262="","",IF(J262="Parado - cliente",IFERROR(INDEX(Equipamentos!$D$5:$D$10,MATCH(B262,Equipamentos!$A$5:$A$10,0)),0),IF(OR(J262="Parado - manutenção",J262="Sem serviço"),0,MAX(N(K262),IFERROR(INDEX(Equipamentos!$D$5:$D$10,MATCH(B262,Equipamentos!$A$5:$A$10,0)),0)))))</f>
        <v/>
      </c>
      <c r="N262" s="14">
        <f>IF(B262="","",IFERROR(INDEX(Equipamentos!$C$5:$C$10,MATCH(B262,Equipamentos!$A$5:$A$10,0)),0))</f>
        <v/>
      </c>
      <c r="O262" s="14">
        <f>IF(B262="","",M262*N262)</f>
        <v/>
      </c>
      <c r="P262" s="9" t="n"/>
    </row>
    <row r="263">
      <c r="A263" s="15" t="n"/>
      <c r="B263" s="9" t="n"/>
      <c r="C263" s="9" t="n"/>
      <c r="D263" s="9" t="n"/>
      <c r="E263" s="16" t="n"/>
      <c r="F263" s="16" t="n"/>
      <c r="G263" s="16" t="n"/>
      <c r="H263" s="17" t="n"/>
      <c r="I263" s="17" t="n"/>
      <c r="J263" s="9" t="n"/>
      <c r="K263" s="13">
        <f>IF(OR(E263="",F263=""),"",ROUND((MOD(F263-E263,1)-N(G263))*24,2))</f>
        <v/>
      </c>
      <c r="L263" s="13">
        <f>IF(OR(H263="",I263=""),"",I263-H263)</f>
        <v/>
      </c>
      <c r="M263" s="13">
        <f>IF(B263="","",IF(J263="Parado - cliente",IFERROR(INDEX(Equipamentos!$D$5:$D$10,MATCH(B263,Equipamentos!$A$5:$A$10,0)),0),IF(OR(J263="Parado - manutenção",J263="Sem serviço"),0,MAX(N(K263),IFERROR(INDEX(Equipamentos!$D$5:$D$10,MATCH(B263,Equipamentos!$A$5:$A$10,0)),0)))))</f>
        <v/>
      </c>
      <c r="N263" s="14">
        <f>IF(B263="","",IFERROR(INDEX(Equipamentos!$C$5:$C$10,MATCH(B263,Equipamentos!$A$5:$A$10,0)),0))</f>
        <v/>
      </c>
      <c r="O263" s="14">
        <f>IF(B263="","",M263*N263)</f>
        <v/>
      </c>
      <c r="P263" s="9" t="n"/>
    </row>
    <row r="264">
      <c r="A264" s="15" t="n"/>
      <c r="B264" s="9" t="n"/>
      <c r="C264" s="9" t="n"/>
      <c r="D264" s="9" t="n"/>
      <c r="E264" s="16" t="n"/>
      <c r="F264" s="16" t="n"/>
      <c r="G264" s="16" t="n"/>
      <c r="H264" s="17" t="n"/>
      <c r="I264" s="17" t="n"/>
      <c r="J264" s="9" t="n"/>
      <c r="K264" s="13">
        <f>IF(OR(E264="",F264=""),"",ROUND((MOD(F264-E264,1)-N(G264))*24,2))</f>
        <v/>
      </c>
      <c r="L264" s="13">
        <f>IF(OR(H264="",I264=""),"",I264-H264)</f>
        <v/>
      </c>
      <c r="M264" s="13">
        <f>IF(B264="","",IF(J264="Parado - cliente",IFERROR(INDEX(Equipamentos!$D$5:$D$10,MATCH(B264,Equipamentos!$A$5:$A$10,0)),0),IF(OR(J264="Parado - manutenção",J264="Sem serviço"),0,MAX(N(K264),IFERROR(INDEX(Equipamentos!$D$5:$D$10,MATCH(B264,Equipamentos!$A$5:$A$10,0)),0)))))</f>
        <v/>
      </c>
      <c r="N264" s="14">
        <f>IF(B264="","",IFERROR(INDEX(Equipamentos!$C$5:$C$10,MATCH(B264,Equipamentos!$A$5:$A$10,0)),0))</f>
        <v/>
      </c>
      <c r="O264" s="14">
        <f>IF(B264="","",M264*N264)</f>
        <v/>
      </c>
      <c r="P264" s="9" t="n"/>
    </row>
    <row r="265">
      <c r="A265" s="15" t="n"/>
      <c r="B265" s="9" t="n"/>
      <c r="C265" s="9" t="n"/>
      <c r="D265" s="9" t="n"/>
      <c r="E265" s="16" t="n"/>
      <c r="F265" s="16" t="n"/>
      <c r="G265" s="16" t="n"/>
      <c r="H265" s="17" t="n"/>
      <c r="I265" s="17" t="n"/>
      <c r="J265" s="9" t="n"/>
      <c r="K265" s="13">
        <f>IF(OR(E265="",F265=""),"",ROUND((MOD(F265-E265,1)-N(G265))*24,2))</f>
        <v/>
      </c>
      <c r="L265" s="13">
        <f>IF(OR(H265="",I265=""),"",I265-H265)</f>
        <v/>
      </c>
      <c r="M265" s="13">
        <f>IF(B265="","",IF(J265="Parado - cliente",IFERROR(INDEX(Equipamentos!$D$5:$D$10,MATCH(B265,Equipamentos!$A$5:$A$10,0)),0),IF(OR(J265="Parado - manutenção",J265="Sem serviço"),0,MAX(N(K265),IFERROR(INDEX(Equipamentos!$D$5:$D$10,MATCH(B265,Equipamentos!$A$5:$A$10,0)),0)))))</f>
        <v/>
      </c>
      <c r="N265" s="14">
        <f>IF(B265="","",IFERROR(INDEX(Equipamentos!$C$5:$C$10,MATCH(B265,Equipamentos!$A$5:$A$10,0)),0))</f>
        <v/>
      </c>
      <c r="O265" s="14">
        <f>IF(B265="","",M265*N265)</f>
        <v/>
      </c>
      <c r="P265" s="9" t="n"/>
    </row>
    <row r="266">
      <c r="A266" s="15" t="n"/>
      <c r="B266" s="9" t="n"/>
      <c r="C266" s="9" t="n"/>
      <c r="D266" s="9" t="n"/>
      <c r="E266" s="16" t="n"/>
      <c r="F266" s="16" t="n"/>
      <c r="G266" s="16" t="n"/>
      <c r="H266" s="17" t="n"/>
      <c r="I266" s="17" t="n"/>
      <c r="J266" s="9" t="n"/>
      <c r="K266" s="13">
        <f>IF(OR(E266="",F266=""),"",ROUND((MOD(F266-E266,1)-N(G266))*24,2))</f>
        <v/>
      </c>
      <c r="L266" s="13">
        <f>IF(OR(H266="",I266=""),"",I266-H266)</f>
        <v/>
      </c>
      <c r="M266" s="13">
        <f>IF(B266="","",IF(J266="Parado - cliente",IFERROR(INDEX(Equipamentos!$D$5:$D$10,MATCH(B266,Equipamentos!$A$5:$A$10,0)),0),IF(OR(J266="Parado - manutenção",J266="Sem serviço"),0,MAX(N(K266),IFERROR(INDEX(Equipamentos!$D$5:$D$10,MATCH(B266,Equipamentos!$A$5:$A$10,0)),0)))))</f>
        <v/>
      </c>
      <c r="N266" s="14">
        <f>IF(B266="","",IFERROR(INDEX(Equipamentos!$C$5:$C$10,MATCH(B266,Equipamentos!$A$5:$A$10,0)),0))</f>
        <v/>
      </c>
      <c r="O266" s="14">
        <f>IF(B266="","",M266*N266)</f>
        <v/>
      </c>
      <c r="P266" s="9" t="n"/>
    </row>
    <row r="267">
      <c r="A267" s="15" t="n"/>
      <c r="B267" s="9" t="n"/>
      <c r="C267" s="9" t="n"/>
      <c r="D267" s="9" t="n"/>
      <c r="E267" s="16" t="n"/>
      <c r="F267" s="16" t="n"/>
      <c r="G267" s="16" t="n"/>
      <c r="H267" s="17" t="n"/>
      <c r="I267" s="17" t="n"/>
      <c r="J267" s="9" t="n"/>
      <c r="K267" s="13">
        <f>IF(OR(E267="",F267=""),"",ROUND((MOD(F267-E267,1)-N(G267))*24,2))</f>
        <v/>
      </c>
      <c r="L267" s="13">
        <f>IF(OR(H267="",I267=""),"",I267-H267)</f>
        <v/>
      </c>
      <c r="M267" s="13">
        <f>IF(B267="","",IF(J267="Parado - cliente",IFERROR(INDEX(Equipamentos!$D$5:$D$10,MATCH(B267,Equipamentos!$A$5:$A$10,0)),0),IF(OR(J267="Parado - manutenção",J267="Sem serviço"),0,MAX(N(K267),IFERROR(INDEX(Equipamentos!$D$5:$D$10,MATCH(B267,Equipamentos!$A$5:$A$10,0)),0)))))</f>
        <v/>
      </c>
      <c r="N267" s="14">
        <f>IF(B267="","",IFERROR(INDEX(Equipamentos!$C$5:$C$10,MATCH(B267,Equipamentos!$A$5:$A$10,0)),0))</f>
        <v/>
      </c>
      <c r="O267" s="14">
        <f>IF(B267="","",M267*N267)</f>
        <v/>
      </c>
      <c r="P267" s="9" t="n"/>
    </row>
    <row r="268">
      <c r="A268" s="15" t="n"/>
      <c r="B268" s="9" t="n"/>
      <c r="C268" s="9" t="n"/>
      <c r="D268" s="9" t="n"/>
      <c r="E268" s="16" t="n"/>
      <c r="F268" s="16" t="n"/>
      <c r="G268" s="16" t="n"/>
      <c r="H268" s="17" t="n"/>
      <c r="I268" s="17" t="n"/>
      <c r="J268" s="9" t="n"/>
      <c r="K268" s="13">
        <f>IF(OR(E268="",F268=""),"",ROUND((MOD(F268-E268,1)-N(G268))*24,2))</f>
        <v/>
      </c>
      <c r="L268" s="13">
        <f>IF(OR(H268="",I268=""),"",I268-H268)</f>
        <v/>
      </c>
      <c r="M268" s="13">
        <f>IF(B268="","",IF(J268="Parado - cliente",IFERROR(INDEX(Equipamentos!$D$5:$D$10,MATCH(B268,Equipamentos!$A$5:$A$10,0)),0),IF(OR(J268="Parado - manutenção",J268="Sem serviço"),0,MAX(N(K268),IFERROR(INDEX(Equipamentos!$D$5:$D$10,MATCH(B268,Equipamentos!$A$5:$A$10,0)),0)))))</f>
        <v/>
      </c>
      <c r="N268" s="14">
        <f>IF(B268="","",IFERROR(INDEX(Equipamentos!$C$5:$C$10,MATCH(B268,Equipamentos!$A$5:$A$10,0)),0))</f>
        <v/>
      </c>
      <c r="O268" s="14">
        <f>IF(B268="","",M268*N268)</f>
        <v/>
      </c>
      <c r="P268" s="9" t="n"/>
    </row>
    <row r="269">
      <c r="A269" s="15" t="n"/>
      <c r="B269" s="9" t="n"/>
      <c r="C269" s="9" t="n"/>
      <c r="D269" s="9" t="n"/>
      <c r="E269" s="16" t="n"/>
      <c r="F269" s="16" t="n"/>
      <c r="G269" s="16" t="n"/>
      <c r="H269" s="17" t="n"/>
      <c r="I269" s="17" t="n"/>
      <c r="J269" s="9" t="n"/>
      <c r="K269" s="13">
        <f>IF(OR(E269="",F269=""),"",ROUND((MOD(F269-E269,1)-N(G269))*24,2))</f>
        <v/>
      </c>
      <c r="L269" s="13">
        <f>IF(OR(H269="",I269=""),"",I269-H269)</f>
        <v/>
      </c>
      <c r="M269" s="13">
        <f>IF(B269="","",IF(J269="Parado - cliente",IFERROR(INDEX(Equipamentos!$D$5:$D$10,MATCH(B269,Equipamentos!$A$5:$A$10,0)),0),IF(OR(J269="Parado - manutenção",J269="Sem serviço"),0,MAX(N(K269),IFERROR(INDEX(Equipamentos!$D$5:$D$10,MATCH(B269,Equipamentos!$A$5:$A$10,0)),0)))))</f>
        <v/>
      </c>
      <c r="N269" s="14">
        <f>IF(B269="","",IFERROR(INDEX(Equipamentos!$C$5:$C$10,MATCH(B269,Equipamentos!$A$5:$A$10,0)),0))</f>
        <v/>
      </c>
      <c r="O269" s="14">
        <f>IF(B269="","",M269*N269)</f>
        <v/>
      </c>
      <c r="P269" s="9" t="n"/>
    </row>
    <row r="270">
      <c r="A270" s="15" t="n"/>
      <c r="B270" s="9" t="n"/>
      <c r="C270" s="9" t="n"/>
      <c r="D270" s="9" t="n"/>
      <c r="E270" s="16" t="n"/>
      <c r="F270" s="16" t="n"/>
      <c r="G270" s="16" t="n"/>
      <c r="H270" s="17" t="n"/>
      <c r="I270" s="17" t="n"/>
      <c r="J270" s="9" t="n"/>
      <c r="K270" s="13">
        <f>IF(OR(E270="",F270=""),"",ROUND((MOD(F270-E270,1)-N(G270))*24,2))</f>
        <v/>
      </c>
      <c r="L270" s="13">
        <f>IF(OR(H270="",I270=""),"",I270-H270)</f>
        <v/>
      </c>
      <c r="M270" s="13">
        <f>IF(B270="","",IF(J270="Parado - cliente",IFERROR(INDEX(Equipamentos!$D$5:$D$10,MATCH(B270,Equipamentos!$A$5:$A$10,0)),0),IF(OR(J270="Parado - manutenção",J270="Sem serviço"),0,MAX(N(K270),IFERROR(INDEX(Equipamentos!$D$5:$D$10,MATCH(B270,Equipamentos!$A$5:$A$10,0)),0)))))</f>
        <v/>
      </c>
      <c r="N270" s="14">
        <f>IF(B270="","",IFERROR(INDEX(Equipamentos!$C$5:$C$10,MATCH(B270,Equipamentos!$A$5:$A$10,0)),0))</f>
        <v/>
      </c>
      <c r="O270" s="14">
        <f>IF(B270="","",M270*N270)</f>
        <v/>
      </c>
      <c r="P270" s="9" t="n"/>
    </row>
    <row r="271">
      <c r="A271" s="15" t="n"/>
      <c r="B271" s="9" t="n"/>
      <c r="C271" s="9" t="n"/>
      <c r="D271" s="9" t="n"/>
      <c r="E271" s="16" t="n"/>
      <c r="F271" s="16" t="n"/>
      <c r="G271" s="16" t="n"/>
      <c r="H271" s="17" t="n"/>
      <c r="I271" s="17" t="n"/>
      <c r="J271" s="9" t="n"/>
      <c r="K271" s="13">
        <f>IF(OR(E271="",F271=""),"",ROUND((MOD(F271-E271,1)-N(G271))*24,2))</f>
        <v/>
      </c>
      <c r="L271" s="13">
        <f>IF(OR(H271="",I271=""),"",I271-H271)</f>
        <v/>
      </c>
      <c r="M271" s="13">
        <f>IF(B271="","",IF(J271="Parado - cliente",IFERROR(INDEX(Equipamentos!$D$5:$D$10,MATCH(B271,Equipamentos!$A$5:$A$10,0)),0),IF(OR(J271="Parado - manutenção",J271="Sem serviço"),0,MAX(N(K271),IFERROR(INDEX(Equipamentos!$D$5:$D$10,MATCH(B271,Equipamentos!$A$5:$A$10,0)),0)))))</f>
        <v/>
      </c>
      <c r="N271" s="14">
        <f>IF(B271="","",IFERROR(INDEX(Equipamentos!$C$5:$C$10,MATCH(B271,Equipamentos!$A$5:$A$10,0)),0))</f>
        <v/>
      </c>
      <c r="O271" s="14">
        <f>IF(B271="","",M271*N271)</f>
        <v/>
      </c>
      <c r="P271" s="9" t="n"/>
    </row>
    <row r="272">
      <c r="A272" s="15" t="n"/>
      <c r="B272" s="9" t="n"/>
      <c r="C272" s="9" t="n"/>
      <c r="D272" s="9" t="n"/>
      <c r="E272" s="16" t="n"/>
      <c r="F272" s="16" t="n"/>
      <c r="G272" s="16" t="n"/>
      <c r="H272" s="17" t="n"/>
      <c r="I272" s="17" t="n"/>
      <c r="J272" s="9" t="n"/>
      <c r="K272" s="13">
        <f>IF(OR(E272="",F272=""),"",ROUND((MOD(F272-E272,1)-N(G272))*24,2))</f>
        <v/>
      </c>
      <c r="L272" s="13">
        <f>IF(OR(H272="",I272=""),"",I272-H272)</f>
        <v/>
      </c>
      <c r="M272" s="13">
        <f>IF(B272="","",IF(J272="Parado - cliente",IFERROR(INDEX(Equipamentos!$D$5:$D$10,MATCH(B272,Equipamentos!$A$5:$A$10,0)),0),IF(OR(J272="Parado - manutenção",J272="Sem serviço"),0,MAX(N(K272),IFERROR(INDEX(Equipamentos!$D$5:$D$10,MATCH(B272,Equipamentos!$A$5:$A$10,0)),0)))))</f>
        <v/>
      </c>
      <c r="N272" s="14">
        <f>IF(B272="","",IFERROR(INDEX(Equipamentos!$C$5:$C$10,MATCH(B272,Equipamentos!$A$5:$A$10,0)),0))</f>
        <v/>
      </c>
      <c r="O272" s="14">
        <f>IF(B272="","",M272*N272)</f>
        <v/>
      </c>
      <c r="P272" s="9" t="n"/>
    </row>
    <row r="273">
      <c r="A273" s="15" t="n"/>
      <c r="B273" s="9" t="n"/>
      <c r="C273" s="9" t="n"/>
      <c r="D273" s="9" t="n"/>
      <c r="E273" s="16" t="n"/>
      <c r="F273" s="16" t="n"/>
      <c r="G273" s="16" t="n"/>
      <c r="H273" s="17" t="n"/>
      <c r="I273" s="17" t="n"/>
      <c r="J273" s="9" t="n"/>
      <c r="K273" s="13">
        <f>IF(OR(E273="",F273=""),"",ROUND((MOD(F273-E273,1)-N(G273))*24,2))</f>
        <v/>
      </c>
      <c r="L273" s="13">
        <f>IF(OR(H273="",I273=""),"",I273-H273)</f>
        <v/>
      </c>
      <c r="M273" s="13">
        <f>IF(B273="","",IF(J273="Parado - cliente",IFERROR(INDEX(Equipamentos!$D$5:$D$10,MATCH(B273,Equipamentos!$A$5:$A$10,0)),0),IF(OR(J273="Parado - manutenção",J273="Sem serviço"),0,MAX(N(K273),IFERROR(INDEX(Equipamentos!$D$5:$D$10,MATCH(B273,Equipamentos!$A$5:$A$10,0)),0)))))</f>
        <v/>
      </c>
      <c r="N273" s="14">
        <f>IF(B273="","",IFERROR(INDEX(Equipamentos!$C$5:$C$10,MATCH(B273,Equipamentos!$A$5:$A$10,0)),0))</f>
        <v/>
      </c>
      <c r="O273" s="14">
        <f>IF(B273="","",M273*N273)</f>
        <v/>
      </c>
      <c r="P273" s="9" t="n"/>
    </row>
    <row r="274">
      <c r="A274" s="15" t="n"/>
      <c r="B274" s="9" t="n"/>
      <c r="C274" s="9" t="n"/>
      <c r="D274" s="9" t="n"/>
      <c r="E274" s="16" t="n"/>
      <c r="F274" s="16" t="n"/>
      <c r="G274" s="16" t="n"/>
      <c r="H274" s="17" t="n"/>
      <c r="I274" s="17" t="n"/>
      <c r="J274" s="9" t="n"/>
      <c r="K274" s="13">
        <f>IF(OR(E274="",F274=""),"",ROUND((MOD(F274-E274,1)-N(G274))*24,2))</f>
        <v/>
      </c>
      <c r="L274" s="13">
        <f>IF(OR(H274="",I274=""),"",I274-H274)</f>
        <v/>
      </c>
      <c r="M274" s="13">
        <f>IF(B274="","",IF(J274="Parado - cliente",IFERROR(INDEX(Equipamentos!$D$5:$D$10,MATCH(B274,Equipamentos!$A$5:$A$10,0)),0),IF(OR(J274="Parado - manutenção",J274="Sem serviço"),0,MAX(N(K274),IFERROR(INDEX(Equipamentos!$D$5:$D$10,MATCH(B274,Equipamentos!$A$5:$A$10,0)),0)))))</f>
        <v/>
      </c>
      <c r="N274" s="14">
        <f>IF(B274="","",IFERROR(INDEX(Equipamentos!$C$5:$C$10,MATCH(B274,Equipamentos!$A$5:$A$10,0)),0))</f>
        <v/>
      </c>
      <c r="O274" s="14">
        <f>IF(B274="","",M274*N274)</f>
        <v/>
      </c>
      <c r="P274" s="9" t="n"/>
    </row>
    <row r="275">
      <c r="A275" s="15" t="n"/>
      <c r="B275" s="9" t="n"/>
      <c r="C275" s="9" t="n"/>
      <c r="D275" s="9" t="n"/>
      <c r="E275" s="16" t="n"/>
      <c r="F275" s="16" t="n"/>
      <c r="G275" s="16" t="n"/>
      <c r="H275" s="17" t="n"/>
      <c r="I275" s="17" t="n"/>
      <c r="J275" s="9" t="n"/>
      <c r="K275" s="13">
        <f>IF(OR(E275="",F275=""),"",ROUND((MOD(F275-E275,1)-N(G275))*24,2))</f>
        <v/>
      </c>
      <c r="L275" s="13">
        <f>IF(OR(H275="",I275=""),"",I275-H275)</f>
        <v/>
      </c>
      <c r="M275" s="13">
        <f>IF(B275="","",IF(J275="Parado - cliente",IFERROR(INDEX(Equipamentos!$D$5:$D$10,MATCH(B275,Equipamentos!$A$5:$A$10,0)),0),IF(OR(J275="Parado - manutenção",J275="Sem serviço"),0,MAX(N(K275),IFERROR(INDEX(Equipamentos!$D$5:$D$10,MATCH(B275,Equipamentos!$A$5:$A$10,0)),0)))))</f>
        <v/>
      </c>
      <c r="N275" s="14">
        <f>IF(B275="","",IFERROR(INDEX(Equipamentos!$C$5:$C$10,MATCH(B275,Equipamentos!$A$5:$A$10,0)),0))</f>
        <v/>
      </c>
      <c r="O275" s="14">
        <f>IF(B275="","",M275*N275)</f>
        <v/>
      </c>
      <c r="P275" s="9" t="n"/>
    </row>
    <row r="276">
      <c r="A276" s="15" t="n"/>
      <c r="B276" s="9" t="n"/>
      <c r="C276" s="9" t="n"/>
      <c r="D276" s="9" t="n"/>
      <c r="E276" s="16" t="n"/>
      <c r="F276" s="16" t="n"/>
      <c r="G276" s="16" t="n"/>
      <c r="H276" s="17" t="n"/>
      <c r="I276" s="17" t="n"/>
      <c r="J276" s="9" t="n"/>
      <c r="K276" s="13">
        <f>IF(OR(E276="",F276=""),"",ROUND((MOD(F276-E276,1)-N(G276))*24,2))</f>
        <v/>
      </c>
      <c r="L276" s="13">
        <f>IF(OR(H276="",I276=""),"",I276-H276)</f>
        <v/>
      </c>
      <c r="M276" s="13">
        <f>IF(B276="","",IF(J276="Parado - cliente",IFERROR(INDEX(Equipamentos!$D$5:$D$10,MATCH(B276,Equipamentos!$A$5:$A$10,0)),0),IF(OR(J276="Parado - manutenção",J276="Sem serviço"),0,MAX(N(K276),IFERROR(INDEX(Equipamentos!$D$5:$D$10,MATCH(B276,Equipamentos!$A$5:$A$10,0)),0)))))</f>
        <v/>
      </c>
      <c r="N276" s="14">
        <f>IF(B276="","",IFERROR(INDEX(Equipamentos!$C$5:$C$10,MATCH(B276,Equipamentos!$A$5:$A$10,0)),0))</f>
        <v/>
      </c>
      <c r="O276" s="14">
        <f>IF(B276="","",M276*N276)</f>
        <v/>
      </c>
      <c r="P276" s="9" t="n"/>
    </row>
    <row r="277">
      <c r="A277" s="15" t="n"/>
      <c r="B277" s="9" t="n"/>
      <c r="C277" s="9" t="n"/>
      <c r="D277" s="9" t="n"/>
      <c r="E277" s="16" t="n"/>
      <c r="F277" s="16" t="n"/>
      <c r="G277" s="16" t="n"/>
      <c r="H277" s="17" t="n"/>
      <c r="I277" s="17" t="n"/>
      <c r="J277" s="9" t="n"/>
      <c r="K277" s="13">
        <f>IF(OR(E277="",F277=""),"",ROUND((MOD(F277-E277,1)-N(G277))*24,2))</f>
        <v/>
      </c>
      <c r="L277" s="13">
        <f>IF(OR(H277="",I277=""),"",I277-H277)</f>
        <v/>
      </c>
      <c r="M277" s="13">
        <f>IF(B277="","",IF(J277="Parado - cliente",IFERROR(INDEX(Equipamentos!$D$5:$D$10,MATCH(B277,Equipamentos!$A$5:$A$10,0)),0),IF(OR(J277="Parado - manutenção",J277="Sem serviço"),0,MAX(N(K277),IFERROR(INDEX(Equipamentos!$D$5:$D$10,MATCH(B277,Equipamentos!$A$5:$A$10,0)),0)))))</f>
        <v/>
      </c>
      <c r="N277" s="14">
        <f>IF(B277="","",IFERROR(INDEX(Equipamentos!$C$5:$C$10,MATCH(B277,Equipamentos!$A$5:$A$10,0)),0))</f>
        <v/>
      </c>
      <c r="O277" s="14">
        <f>IF(B277="","",M277*N277)</f>
        <v/>
      </c>
      <c r="P277" s="9" t="n"/>
    </row>
    <row r="278">
      <c r="A278" s="15" t="n"/>
      <c r="B278" s="9" t="n"/>
      <c r="C278" s="9" t="n"/>
      <c r="D278" s="9" t="n"/>
      <c r="E278" s="16" t="n"/>
      <c r="F278" s="16" t="n"/>
      <c r="G278" s="16" t="n"/>
      <c r="H278" s="17" t="n"/>
      <c r="I278" s="17" t="n"/>
      <c r="J278" s="9" t="n"/>
      <c r="K278" s="13">
        <f>IF(OR(E278="",F278=""),"",ROUND((MOD(F278-E278,1)-N(G278))*24,2))</f>
        <v/>
      </c>
      <c r="L278" s="13">
        <f>IF(OR(H278="",I278=""),"",I278-H278)</f>
        <v/>
      </c>
      <c r="M278" s="13">
        <f>IF(B278="","",IF(J278="Parado - cliente",IFERROR(INDEX(Equipamentos!$D$5:$D$10,MATCH(B278,Equipamentos!$A$5:$A$10,0)),0),IF(OR(J278="Parado - manutenção",J278="Sem serviço"),0,MAX(N(K278),IFERROR(INDEX(Equipamentos!$D$5:$D$10,MATCH(B278,Equipamentos!$A$5:$A$10,0)),0)))))</f>
        <v/>
      </c>
      <c r="N278" s="14">
        <f>IF(B278="","",IFERROR(INDEX(Equipamentos!$C$5:$C$10,MATCH(B278,Equipamentos!$A$5:$A$10,0)),0))</f>
        <v/>
      </c>
      <c r="O278" s="14">
        <f>IF(B278="","",M278*N278)</f>
        <v/>
      </c>
      <c r="P278" s="9" t="n"/>
    </row>
    <row r="279">
      <c r="A279" s="15" t="n"/>
      <c r="B279" s="9" t="n"/>
      <c r="C279" s="9" t="n"/>
      <c r="D279" s="9" t="n"/>
      <c r="E279" s="16" t="n"/>
      <c r="F279" s="16" t="n"/>
      <c r="G279" s="16" t="n"/>
      <c r="H279" s="17" t="n"/>
      <c r="I279" s="17" t="n"/>
      <c r="J279" s="9" t="n"/>
      <c r="K279" s="13">
        <f>IF(OR(E279="",F279=""),"",ROUND((MOD(F279-E279,1)-N(G279))*24,2))</f>
        <v/>
      </c>
      <c r="L279" s="13">
        <f>IF(OR(H279="",I279=""),"",I279-H279)</f>
        <v/>
      </c>
      <c r="M279" s="13">
        <f>IF(B279="","",IF(J279="Parado - cliente",IFERROR(INDEX(Equipamentos!$D$5:$D$10,MATCH(B279,Equipamentos!$A$5:$A$10,0)),0),IF(OR(J279="Parado - manutenção",J279="Sem serviço"),0,MAX(N(K279),IFERROR(INDEX(Equipamentos!$D$5:$D$10,MATCH(B279,Equipamentos!$A$5:$A$10,0)),0)))))</f>
        <v/>
      </c>
      <c r="N279" s="14">
        <f>IF(B279="","",IFERROR(INDEX(Equipamentos!$C$5:$C$10,MATCH(B279,Equipamentos!$A$5:$A$10,0)),0))</f>
        <v/>
      </c>
      <c r="O279" s="14">
        <f>IF(B279="","",M279*N279)</f>
        <v/>
      </c>
      <c r="P279" s="9" t="n"/>
    </row>
    <row r="280">
      <c r="A280" s="15" t="n"/>
      <c r="B280" s="9" t="n"/>
      <c r="C280" s="9" t="n"/>
      <c r="D280" s="9" t="n"/>
      <c r="E280" s="16" t="n"/>
      <c r="F280" s="16" t="n"/>
      <c r="G280" s="16" t="n"/>
      <c r="H280" s="17" t="n"/>
      <c r="I280" s="17" t="n"/>
      <c r="J280" s="9" t="n"/>
      <c r="K280" s="13">
        <f>IF(OR(E280="",F280=""),"",ROUND((MOD(F280-E280,1)-N(G280))*24,2))</f>
        <v/>
      </c>
      <c r="L280" s="13">
        <f>IF(OR(H280="",I280=""),"",I280-H280)</f>
        <v/>
      </c>
      <c r="M280" s="13">
        <f>IF(B280="","",IF(J280="Parado - cliente",IFERROR(INDEX(Equipamentos!$D$5:$D$10,MATCH(B280,Equipamentos!$A$5:$A$10,0)),0),IF(OR(J280="Parado - manutenção",J280="Sem serviço"),0,MAX(N(K280),IFERROR(INDEX(Equipamentos!$D$5:$D$10,MATCH(B280,Equipamentos!$A$5:$A$10,0)),0)))))</f>
        <v/>
      </c>
      <c r="N280" s="14">
        <f>IF(B280="","",IFERROR(INDEX(Equipamentos!$C$5:$C$10,MATCH(B280,Equipamentos!$A$5:$A$10,0)),0))</f>
        <v/>
      </c>
      <c r="O280" s="14">
        <f>IF(B280="","",M280*N280)</f>
        <v/>
      </c>
      <c r="P280" s="9" t="n"/>
    </row>
    <row r="281">
      <c r="A281" s="15" t="n"/>
      <c r="B281" s="9" t="n"/>
      <c r="C281" s="9" t="n"/>
      <c r="D281" s="9" t="n"/>
      <c r="E281" s="16" t="n"/>
      <c r="F281" s="16" t="n"/>
      <c r="G281" s="16" t="n"/>
      <c r="H281" s="17" t="n"/>
      <c r="I281" s="17" t="n"/>
      <c r="J281" s="9" t="n"/>
      <c r="K281" s="13">
        <f>IF(OR(E281="",F281=""),"",ROUND((MOD(F281-E281,1)-N(G281))*24,2))</f>
        <v/>
      </c>
      <c r="L281" s="13">
        <f>IF(OR(H281="",I281=""),"",I281-H281)</f>
        <v/>
      </c>
      <c r="M281" s="13">
        <f>IF(B281="","",IF(J281="Parado - cliente",IFERROR(INDEX(Equipamentos!$D$5:$D$10,MATCH(B281,Equipamentos!$A$5:$A$10,0)),0),IF(OR(J281="Parado - manutenção",J281="Sem serviço"),0,MAX(N(K281),IFERROR(INDEX(Equipamentos!$D$5:$D$10,MATCH(B281,Equipamentos!$A$5:$A$10,0)),0)))))</f>
        <v/>
      </c>
      <c r="N281" s="14">
        <f>IF(B281="","",IFERROR(INDEX(Equipamentos!$C$5:$C$10,MATCH(B281,Equipamentos!$A$5:$A$10,0)),0))</f>
        <v/>
      </c>
      <c r="O281" s="14">
        <f>IF(B281="","",M281*N281)</f>
        <v/>
      </c>
      <c r="P281" s="9" t="n"/>
    </row>
    <row r="282">
      <c r="A282" s="15" t="n"/>
      <c r="B282" s="9" t="n"/>
      <c r="C282" s="9" t="n"/>
      <c r="D282" s="9" t="n"/>
      <c r="E282" s="16" t="n"/>
      <c r="F282" s="16" t="n"/>
      <c r="G282" s="16" t="n"/>
      <c r="H282" s="17" t="n"/>
      <c r="I282" s="17" t="n"/>
      <c r="J282" s="9" t="n"/>
      <c r="K282" s="13">
        <f>IF(OR(E282="",F282=""),"",ROUND((MOD(F282-E282,1)-N(G282))*24,2))</f>
        <v/>
      </c>
      <c r="L282" s="13">
        <f>IF(OR(H282="",I282=""),"",I282-H282)</f>
        <v/>
      </c>
      <c r="M282" s="13">
        <f>IF(B282="","",IF(J282="Parado - cliente",IFERROR(INDEX(Equipamentos!$D$5:$D$10,MATCH(B282,Equipamentos!$A$5:$A$10,0)),0),IF(OR(J282="Parado - manutenção",J282="Sem serviço"),0,MAX(N(K282),IFERROR(INDEX(Equipamentos!$D$5:$D$10,MATCH(B282,Equipamentos!$A$5:$A$10,0)),0)))))</f>
        <v/>
      </c>
      <c r="N282" s="14">
        <f>IF(B282="","",IFERROR(INDEX(Equipamentos!$C$5:$C$10,MATCH(B282,Equipamentos!$A$5:$A$10,0)),0))</f>
        <v/>
      </c>
      <c r="O282" s="14">
        <f>IF(B282="","",M282*N282)</f>
        <v/>
      </c>
      <c r="P282" s="9" t="n"/>
    </row>
    <row r="283">
      <c r="A283" s="15" t="n"/>
      <c r="B283" s="9" t="n"/>
      <c r="C283" s="9" t="n"/>
      <c r="D283" s="9" t="n"/>
      <c r="E283" s="16" t="n"/>
      <c r="F283" s="16" t="n"/>
      <c r="G283" s="16" t="n"/>
      <c r="H283" s="17" t="n"/>
      <c r="I283" s="17" t="n"/>
      <c r="J283" s="9" t="n"/>
      <c r="K283" s="13">
        <f>IF(OR(E283="",F283=""),"",ROUND((MOD(F283-E283,1)-N(G283))*24,2))</f>
        <v/>
      </c>
      <c r="L283" s="13">
        <f>IF(OR(H283="",I283=""),"",I283-H283)</f>
        <v/>
      </c>
      <c r="M283" s="13">
        <f>IF(B283="","",IF(J283="Parado - cliente",IFERROR(INDEX(Equipamentos!$D$5:$D$10,MATCH(B283,Equipamentos!$A$5:$A$10,0)),0),IF(OR(J283="Parado - manutenção",J283="Sem serviço"),0,MAX(N(K283),IFERROR(INDEX(Equipamentos!$D$5:$D$10,MATCH(B283,Equipamentos!$A$5:$A$10,0)),0)))))</f>
        <v/>
      </c>
      <c r="N283" s="14">
        <f>IF(B283="","",IFERROR(INDEX(Equipamentos!$C$5:$C$10,MATCH(B283,Equipamentos!$A$5:$A$10,0)),0))</f>
        <v/>
      </c>
      <c r="O283" s="14">
        <f>IF(B283="","",M283*N283)</f>
        <v/>
      </c>
      <c r="P283" s="9" t="n"/>
    </row>
    <row r="284">
      <c r="A284" s="15" t="n"/>
      <c r="B284" s="9" t="n"/>
      <c r="C284" s="9" t="n"/>
      <c r="D284" s="9" t="n"/>
      <c r="E284" s="16" t="n"/>
      <c r="F284" s="16" t="n"/>
      <c r="G284" s="16" t="n"/>
      <c r="H284" s="17" t="n"/>
      <c r="I284" s="17" t="n"/>
      <c r="J284" s="9" t="n"/>
      <c r="K284" s="13">
        <f>IF(OR(E284="",F284=""),"",ROUND((MOD(F284-E284,1)-N(G284))*24,2))</f>
        <v/>
      </c>
      <c r="L284" s="13">
        <f>IF(OR(H284="",I284=""),"",I284-H284)</f>
        <v/>
      </c>
      <c r="M284" s="13">
        <f>IF(B284="","",IF(J284="Parado - cliente",IFERROR(INDEX(Equipamentos!$D$5:$D$10,MATCH(B284,Equipamentos!$A$5:$A$10,0)),0),IF(OR(J284="Parado - manutenção",J284="Sem serviço"),0,MAX(N(K284),IFERROR(INDEX(Equipamentos!$D$5:$D$10,MATCH(B284,Equipamentos!$A$5:$A$10,0)),0)))))</f>
        <v/>
      </c>
      <c r="N284" s="14">
        <f>IF(B284="","",IFERROR(INDEX(Equipamentos!$C$5:$C$10,MATCH(B284,Equipamentos!$A$5:$A$10,0)),0))</f>
        <v/>
      </c>
      <c r="O284" s="14">
        <f>IF(B284="","",M284*N284)</f>
        <v/>
      </c>
      <c r="P284" s="9" t="n"/>
    </row>
    <row r="285">
      <c r="A285" s="15" t="n"/>
      <c r="B285" s="9" t="n"/>
      <c r="C285" s="9" t="n"/>
      <c r="D285" s="9" t="n"/>
      <c r="E285" s="16" t="n"/>
      <c r="F285" s="16" t="n"/>
      <c r="G285" s="16" t="n"/>
      <c r="H285" s="17" t="n"/>
      <c r="I285" s="17" t="n"/>
      <c r="J285" s="9" t="n"/>
      <c r="K285" s="13">
        <f>IF(OR(E285="",F285=""),"",ROUND((MOD(F285-E285,1)-N(G285))*24,2))</f>
        <v/>
      </c>
      <c r="L285" s="13">
        <f>IF(OR(H285="",I285=""),"",I285-H285)</f>
        <v/>
      </c>
      <c r="M285" s="13">
        <f>IF(B285="","",IF(J285="Parado - cliente",IFERROR(INDEX(Equipamentos!$D$5:$D$10,MATCH(B285,Equipamentos!$A$5:$A$10,0)),0),IF(OR(J285="Parado - manutenção",J285="Sem serviço"),0,MAX(N(K285),IFERROR(INDEX(Equipamentos!$D$5:$D$10,MATCH(B285,Equipamentos!$A$5:$A$10,0)),0)))))</f>
        <v/>
      </c>
      <c r="N285" s="14">
        <f>IF(B285="","",IFERROR(INDEX(Equipamentos!$C$5:$C$10,MATCH(B285,Equipamentos!$A$5:$A$10,0)),0))</f>
        <v/>
      </c>
      <c r="O285" s="14">
        <f>IF(B285="","",M285*N285)</f>
        <v/>
      </c>
      <c r="P285" s="9" t="n"/>
    </row>
    <row r="286">
      <c r="A286" s="15" t="n"/>
      <c r="B286" s="9" t="n"/>
      <c r="C286" s="9" t="n"/>
      <c r="D286" s="9" t="n"/>
      <c r="E286" s="16" t="n"/>
      <c r="F286" s="16" t="n"/>
      <c r="G286" s="16" t="n"/>
      <c r="H286" s="17" t="n"/>
      <c r="I286" s="17" t="n"/>
      <c r="J286" s="9" t="n"/>
      <c r="K286" s="13">
        <f>IF(OR(E286="",F286=""),"",ROUND((MOD(F286-E286,1)-N(G286))*24,2))</f>
        <v/>
      </c>
      <c r="L286" s="13">
        <f>IF(OR(H286="",I286=""),"",I286-H286)</f>
        <v/>
      </c>
      <c r="M286" s="13">
        <f>IF(B286="","",IF(J286="Parado - cliente",IFERROR(INDEX(Equipamentos!$D$5:$D$10,MATCH(B286,Equipamentos!$A$5:$A$10,0)),0),IF(OR(J286="Parado - manutenção",J286="Sem serviço"),0,MAX(N(K286),IFERROR(INDEX(Equipamentos!$D$5:$D$10,MATCH(B286,Equipamentos!$A$5:$A$10,0)),0)))))</f>
        <v/>
      </c>
      <c r="N286" s="14">
        <f>IF(B286="","",IFERROR(INDEX(Equipamentos!$C$5:$C$10,MATCH(B286,Equipamentos!$A$5:$A$10,0)),0))</f>
        <v/>
      </c>
      <c r="O286" s="14">
        <f>IF(B286="","",M286*N286)</f>
        <v/>
      </c>
      <c r="P286" s="9" t="n"/>
    </row>
    <row r="287">
      <c r="A287" s="15" t="n"/>
      <c r="B287" s="9" t="n"/>
      <c r="C287" s="9" t="n"/>
      <c r="D287" s="9" t="n"/>
      <c r="E287" s="16" t="n"/>
      <c r="F287" s="16" t="n"/>
      <c r="G287" s="16" t="n"/>
      <c r="H287" s="17" t="n"/>
      <c r="I287" s="17" t="n"/>
      <c r="J287" s="9" t="n"/>
      <c r="K287" s="13">
        <f>IF(OR(E287="",F287=""),"",ROUND((MOD(F287-E287,1)-N(G287))*24,2))</f>
        <v/>
      </c>
      <c r="L287" s="13">
        <f>IF(OR(H287="",I287=""),"",I287-H287)</f>
        <v/>
      </c>
      <c r="M287" s="13">
        <f>IF(B287="","",IF(J287="Parado - cliente",IFERROR(INDEX(Equipamentos!$D$5:$D$10,MATCH(B287,Equipamentos!$A$5:$A$10,0)),0),IF(OR(J287="Parado - manutenção",J287="Sem serviço"),0,MAX(N(K287),IFERROR(INDEX(Equipamentos!$D$5:$D$10,MATCH(B287,Equipamentos!$A$5:$A$10,0)),0)))))</f>
        <v/>
      </c>
      <c r="N287" s="14">
        <f>IF(B287="","",IFERROR(INDEX(Equipamentos!$C$5:$C$10,MATCH(B287,Equipamentos!$A$5:$A$10,0)),0))</f>
        <v/>
      </c>
      <c r="O287" s="14">
        <f>IF(B287="","",M287*N287)</f>
        <v/>
      </c>
      <c r="P287" s="9" t="n"/>
    </row>
    <row r="288">
      <c r="A288" s="15" t="n"/>
      <c r="B288" s="9" t="n"/>
      <c r="C288" s="9" t="n"/>
      <c r="D288" s="9" t="n"/>
      <c r="E288" s="16" t="n"/>
      <c r="F288" s="16" t="n"/>
      <c r="G288" s="16" t="n"/>
      <c r="H288" s="17" t="n"/>
      <c r="I288" s="17" t="n"/>
      <c r="J288" s="9" t="n"/>
      <c r="K288" s="13">
        <f>IF(OR(E288="",F288=""),"",ROUND((MOD(F288-E288,1)-N(G288))*24,2))</f>
        <v/>
      </c>
      <c r="L288" s="13">
        <f>IF(OR(H288="",I288=""),"",I288-H288)</f>
        <v/>
      </c>
      <c r="M288" s="13">
        <f>IF(B288="","",IF(J288="Parado - cliente",IFERROR(INDEX(Equipamentos!$D$5:$D$10,MATCH(B288,Equipamentos!$A$5:$A$10,0)),0),IF(OR(J288="Parado - manutenção",J288="Sem serviço"),0,MAX(N(K288),IFERROR(INDEX(Equipamentos!$D$5:$D$10,MATCH(B288,Equipamentos!$A$5:$A$10,0)),0)))))</f>
        <v/>
      </c>
      <c r="N288" s="14">
        <f>IF(B288="","",IFERROR(INDEX(Equipamentos!$C$5:$C$10,MATCH(B288,Equipamentos!$A$5:$A$10,0)),0))</f>
        <v/>
      </c>
      <c r="O288" s="14">
        <f>IF(B288="","",M288*N288)</f>
        <v/>
      </c>
      <c r="P288" s="9" t="n"/>
    </row>
    <row r="289">
      <c r="A289" s="15" t="n"/>
      <c r="B289" s="9" t="n"/>
      <c r="C289" s="9" t="n"/>
      <c r="D289" s="9" t="n"/>
      <c r="E289" s="16" t="n"/>
      <c r="F289" s="16" t="n"/>
      <c r="G289" s="16" t="n"/>
      <c r="H289" s="17" t="n"/>
      <c r="I289" s="17" t="n"/>
      <c r="J289" s="9" t="n"/>
      <c r="K289" s="13">
        <f>IF(OR(E289="",F289=""),"",ROUND((MOD(F289-E289,1)-N(G289))*24,2))</f>
        <v/>
      </c>
      <c r="L289" s="13">
        <f>IF(OR(H289="",I289=""),"",I289-H289)</f>
        <v/>
      </c>
      <c r="M289" s="13">
        <f>IF(B289="","",IF(J289="Parado - cliente",IFERROR(INDEX(Equipamentos!$D$5:$D$10,MATCH(B289,Equipamentos!$A$5:$A$10,0)),0),IF(OR(J289="Parado - manutenção",J289="Sem serviço"),0,MAX(N(K289),IFERROR(INDEX(Equipamentos!$D$5:$D$10,MATCH(B289,Equipamentos!$A$5:$A$10,0)),0)))))</f>
        <v/>
      </c>
      <c r="N289" s="14">
        <f>IF(B289="","",IFERROR(INDEX(Equipamentos!$C$5:$C$10,MATCH(B289,Equipamentos!$A$5:$A$10,0)),0))</f>
        <v/>
      </c>
      <c r="O289" s="14">
        <f>IF(B289="","",M289*N289)</f>
        <v/>
      </c>
      <c r="P289" s="9" t="n"/>
    </row>
    <row r="290">
      <c r="A290" s="15" t="n"/>
      <c r="B290" s="9" t="n"/>
      <c r="C290" s="9" t="n"/>
      <c r="D290" s="9" t="n"/>
      <c r="E290" s="16" t="n"/>
      <c r="F290" s="16" t="n"/>
      <c r="G290" s="16" t="n"/>
      <c r="H290" s="17" t="n"/>
      <c r="I290" s="17" t="n"/>
      <c r="J290" s="9" t="n"/>
      <c r="K290" s="13">
        <f>IF(OR(E290="",F290=""),"",ROUND((MOD(F290-E290,1)-N(G290))*24,2))</f>
        <v/>
      </c>
      <c r="L290" s="13">
        <f>IF(OR(H290="",I290=""),"",I290-H290)</f>
        <v/>
      </c>
      <c r="M290" s="13">
        <f>IF(B290="","",IF(J290="Parado - cliente",IFERROR(INDEX(Equipamentos!$D$5:$D$10,MATCH(B290,Equipamentos!$A$5:$A$10,0)),0),IF(OR(J290="Parado - manutenção",J290="Sem serviço"),0,MAX(N(K290),IFERROR(INDEX(Equipamentos!$D$5:$D$10,MATCH(B290,Equipamentos!$A$5:$A$10,0)),0)))))</f>
        <v/>
      </c>
      <c r="N290" s="14">
        <f>IF(B290="","",IFERROR(INDEX(Equipamentos!$C$5:$C$10,MATCH(B290,Equipamentos!$A$5:$A$10,0)),0))</f>
        <v/>
      </c>
      <c r="O290" s="14">
        <f>IF(B290="","",M290*N290)</f>
        <v/>
      </c>
      <c r="P290" s="9" t="n"/>
    </row>
    <row r="291">
      <c r="A291" s="15" t="n"/>
      <c r="B291" s="9" t="n"/>
      <c r="C291" s="9" t="n"/>
      <c r="D291" s="9" t="n"/>
      <c r="E291" s="16" t="n"/>
      <c r="F291" s="16" t="n"/>
      <c r="G291" s="16" t="n"/>
      <c r="H291" s="17" t="n"/>
      <c r="I291" s="17" t="n"/>
      <c r="J291" s="9" t="n"/>
      <c r="K291" s="13">
        <f>IF(OR(E291="",F291=""),"",ROUND((MOD(F291-E291,1)-N(G291))*24,2))</f>
        <v/>
      </c>
      <c r="L291" s="13">
        <f>IF(OR(H291="",I291=""),"",I291-H291)</f>
        <v/>
      </c>
      <c r="M291" s="13">
        <f>IF(B291="","",IF(J291="Parado - cliente",IFERROR(INDEX(Equipamentos!$D$5:$D$10,MATCH(B291,Equipamentos!$A$5:$A$10,0)),0),IF(OR(J291="Parado - manutenção",J291="Sem serviço"),0,MAX(N(K291),IFERROR(INDEX(Equipamentos!$D$5:$D$10,MATCH(B291,Equipamentos!$A$5:$A$10,0)),0)))))</f>
        <v/>
      </c>
      <c r="N291" s="14">
        <f>IF(B291="","",IFERROR(INDEX(Equipamentos!$C$5:$C$10,MATCH(B291,Equipamentos!$A$5:$A$10,0)),0))</f>
        <v/>
      </c>
      <c r="O291" s="14">
        <f>IF(B291="","",M291*N291)</f>
        <v/>
      </c>
      <c r="P291" s="9" t="n"/>
    </row>
    <row r="292">
      <c r="A292" s="15" t="n"/>
      <c r="B292" s="9" t="n"/>
      <c r="C292" s="9" t="n"/>
      <c r="D292" s="9" t="n"/>
      <c r="E292" s="16" t="n"/>
      <c r="F292" s="16" t="n"/>
      <c r="G292" s="16" t="n"/>
      <c r="H292" s="17" t="n"/>
      <c r="I292" s="17" t="n"/>
      <c r="J292" s="9" t="n"/>
      <c r="K292" s="13">
        <f>IF(OR(E292="",F292=""),"",ROUND((MOD(F292-E292,1)-N(G292))*24,2))</f>
        <v/>
      </c>
      <c r="L292" s="13">
        <f>IF(OR(H292="",I292=""),"",I292-H292)</f>
        <v/>
      </c>
      <c r="M292" s="13">
        <f>IF(B292="","",IF(J292="Parado - cliente",IFERROR(INDEX(Equipamentos!$D$5:$D$10,MATCH(B292,Equipamentos!$A$5:$A$10,0)),0),IF(OR(J292="Parado - manutenção",J292="Sem serviço"),0,MAX(N(K292),IFERROR(INDEX(Equipamentos!$D$5:$D$10,MATCH(B292,Equipamentos!$A$5:$A$10,0)),0)))))</f>
        <v/>
      </c>
      <c r="N292" s="14">
        <f>IF(B292="","",IFERROR(INDEX(Equipamentos!$C$5:$C$10,MATCH(B292,Equipamentos!$A$5:$A$10,0)),0))</f>
        <v/>
      </c>
      <c r="O292" s="14">
        <f>IF(B292="","",M292*N292)</f>
        <v/>
      </c>
      <c r="P292" s="9" t="n"/>
    </row>
    <row r="293">
      <c r="A293" s="15" t="n"/>
      <c r="B293" s="9" t="n"/>
      <c r="C293" s="9" t="n"/>
      <c r="D293" s="9" t="n"/>
      <c r="E293" s="16" t="n"/>
      <c r="F293" s="16" t="n"/>
      <c r="G293" s="16" t="n"/>
      <c r="H293" s="17" t="n"/>
      <c r="I293" s="17" t="n"/>
      <c r="J293" s="9" t="n"/>
      <c r="K293" s="13">
        <f>IF(OR(E293="",F293=""),"",ROUND((MOD(F293-E293,1)-N(G293))*24,2))</f>
        <v/>
      </c>
      <c r="L293" s="13">
        <f>IF(OR(H293="",I293=""),"",I293-H293)</f>
        <v/>
      </c>
      <c r="M293" s="13">
        <f>IF(B293="","",IF(J293="Parado - cliente",IFERROR(INDEX(Equipamentos!$D$5:$D$10,MATCH(B293,Equipamentos!$A$5:$A$10,0)),0),IF(OR(J293="Parado - manutenção",J293="Sem serviço"),0,MAX(N(K293),IFERROR(INDEX(Equipamentos!$D$5:$D$10,MATCH(B293,Equipamentos!$A$5:$A$10,0)),0)))))</f>
        <v/>
      </c>
      <c r="N293" s="14">
        <f>IF(B293="","",IFERROR(INDEX(Equipamentos!$C$5:$C$10,MATCH(B293,Equipamentos!$A$5:$A$10,0)),0))</f>
        <v/>
      </c>
      <c r="O293" s="14">
        <f>IF(B293="","",M293*N293)</f>
        <v/>
      </c>
      <c r="P293" s="9" t="n"/>
    </row>
    <row r="294">
      <c r="A294" s="15" t="n"/>
      <c r="B294" s="9" t="n"/>
      <c r="C294" s="9" t="n"/>
      <c r="D294" s="9" t="n"/>
      <c r="E294" s="16" t="n"/>
      <c r="F294" s="16" t="n"/>
      <c r="G294" s="16" t="n"/>
      <c r="H294" s="17" t="n"/>
      <c r="I294" s="17" t="n"/>
      <c r="J294" s="9" t="n"/>
      <c r="K294" s="13">
        <f>IF(OR(E294="",F294=""),"",ROUND((MOD(F294-E294,1)-N(G294))*24,2))</f>
        <v/>
      </c>
      <c r="L294" s="13">
        <f>IF(OR(H294="",I294=""),"",I294-H294)</f>
        <v/>
      </c>
      <c r="M294" s="13">
        <f>IF(B294="","",IF(J294="Parado - cliente",IFERROR(INDEX(Equipamentos!$D$5:$D$10,MATCH(B294,Equipamentos!$A$5:$A$10,0)),0),IF(OR(J294="Parado - manutenção",J294="Sem serviço"),0,MAX(N(K294),IFERROR(INDEX(Equipamentos!$D$5:$D$10,MATCH(B294,Equipamentos!$A$5:$A$10,0)),0)))))</f>
        <v/>
      </c>
      <c r="N294" s="14">
        <f>IF(B294="","",IFERROR(INDEX(Equipamentos!$C$5:$C$10,MATCH(B294,Equipamentos!$A$5:$A$10,0)),0))</f>
        <v/>
      </c>
      <c r="O294" s="14">
        <f>IF(B294="","",M294*N294)</f>
        <v/>
      </c>
      <c r="P294" s="9" t="n"/>
    </row>
    <row r="295">
      <c r="A295" s="15" t="n"/>
      <c r="B295" s="9" t="n"/>
      <c r="C295" s="9" t="n"/>
      <c r="D295" s="9" t="n"/>
      <c r="E295" s="16" t="n"/>
      <c r="F295" s="16" t="n"/>
      <c r="G295" s="16" t="n"/>
      <c r="H295" s="17" t="n"/>
      <c r="I295" s="17" t="n"/>
      <c r="J295" s="9" t="n"/>
      <c r="K295" s="13">
        <f>IF(OR(E295="",F295=""),"",ROUND((MOD(F295-E295,1)-N(G295))*24,2))</f>
        <v/>
      </c>
      <c r="L295" s="13">
        <f>IF(OR(H295="",I295=""),"",I295-H295)</f>
        <v/>
      </c>
      <c r="M295" s="13">
        <f>IF(B295="","",IF(J295="Parado - cliente",IFERROR(INDEX(Equipamentos!$D$5:$D$10,MATCH(B295,Equipamentos!$A$5:$A$10,0)),0),IF(OR(J295="Parado - manutenção",J295="Sem serviço"),0,MAX(N(K295),IFERROR(INDEX(Equipamentos!$D$5:$D$10,MATCH(B295,Equipamentos!$A$5:$A$10,0)),0)))))</f>
        <v/>
      </c>
      <c r="N295" s="14">
        <f>IF(B295="","",IFERROR(INDEX(Equipamentos!$C$5:$C$10,MATCH(B295,Equipamentos!$A$5:$A$10,0)),0))</f>
        <v/>
      </c>
      <c r="O295" s="14">
        <f>IF(B295="","",M295*N295)</f>
        <v/>
      </c>
      <c r="P295" s="9" t="n"/>
    </row>
    <row r="296">
      <c r="A296" s="15" t="n"/>
      <c r="B296" s="9" t="n"/>
      <c r="C296" s="9" t="n"/>
      <c r="D296" s="9" t="n"/>
      <c r="E296" s="16" t="n"/>
      <c r="F296" s="16" t="n"/>
      <c r="G296" s="16" t="n"/>
      <c r="H296" s="17" t="n"/>
      <c r="I296" s="17" t="n"/>
      <c r="J296" s="9" t="n"/>
      <c r="K296" s="13">
        <f>IF(OR(E296="",F296=""),"",ROUND((MOD(F296-E296,1)-N(G296))*24,2))</f>
        <v/>
      </c>
      <c r="L296" s="13">
        <f>IF(OR(H296="",I296=""),"",I296-H296)</f>
        <v/>
      </c>
      <c r="M296" s="13">
        <f>IF(B296="","",IF(J296="Parado - cliente",IFERROR(INDEX(Equipamentos!$D$5:$D$10,MATCH(B296,Equipamentos!$A$5:$A$10,0)),0),IF(OR(J296="Parado - manutenção",J296="Sem serviço"),0,MAX(N(K296),IFERROR(INDEX(Equipamentos!$D$5:$D$10,MATCH(B296,Equipamentos!$A$5:$A$10,0)),0)))))</f>
        <v/>
      </c>
      <c r="N296" s="14">
        <f>IF(B296="","",IFERROR(INDEX(Equipamentos!$C$5:$C$10,MATCH(B296,Equipamentos!$A$5:$A$10,0)),0))</f>
        <v/>
      </c>
      <c r="O296" s="14">
        <f>IF(B296="","",M296*N296)</f>
        <v/>
      </c>
      <c r="P296" s="9" t="n"/>
    </row>
    <row r="297">
      <c r="A297" s="15" t="n"/>
      <c r="B297" s="9" t="n"/>
      <c r="C297" s="9" t="n"/>
      <c r="D297" s="9" t="n"/>
      <c r="E297" s="16" t="n"/>
      <c r="F297" s="16" t="n"/>
      <c r="G297" s="16" t="n"/>
      <c r="H297" s="17" t="n"/>
      <c r="I297" s="17" t="n"/>
      <c r="J297" s="9" t="n"/>
      <c r="K297" s="13">
        <f>IF(OR(E297="",F297=""),"",ROUND((MOD(F297-E297,1)-N(G297))*24,2))</f>
        <v/>
      </c>
      <c r="L297" s="13">
        <f>IF(OR(H297="",I297=""),"",I297-H297)</f>
        <v/>
      </c>
      <c r="M297" s="13">
        <f>IF(B297="","",IF(J297="Parado - cliente",IFERROR(INDEX(Equipamentos!$D$5:$D$10,MATCH(B297,Equipamentos!$A$5:$A$10,0)),0),IF(OR(J297="Parado - manutenção",J297="Sem serviço"),0,MAX(N(K297),IFERROR(INDEX(Equipamentos!$D$5:$D$10,MATCH(B297,Equipamentos!$A$5:$A$10,0)),0)))))</f>
        <v/>
      </c>
      <c r="N297" s="14">
        <f>IF(B297="","",IFERROR(INDEX(Equipamentos!$C$5:$C$10,MATCH(B297,Equipamentos!$A$5:$A$10,0)),0))</f>
        <v/>
      </c>
      <c r="O297" s="14">
        <f>IF(B297="","",M297*N297)</f>
        <v/>
      </c>
      <c r="P297" s="9" t="n"/>
    </row>
    <row r="298">
      <c r="A298" s="15" t="n"/>
      <c r="B298" s="9" t="n"/>
      <c r="C298" s="9" t="n"/>
      <c r="D298" s="9" t="n"/>
      <c r="E298" s="16" t="n"/>
      <c r="F298" s="16" t="n"/>
      <c r="G298" s="16" t="n"/>
      <c r="H298" s="17" t="n"/>
      <c r="I298" s="17" t="n"/>
      <c r="J298" s="9" t="n"/>
      <c r="K298" s="13">
        <f>IF(OR(E298="",F298=""),"",ROUND((MOD(F298-E298,1)-N(G298))*24,2))</f>
        <v/>
      </c>
      <c r="L298" s="13">
        <f>IF(OR(H298="",I298=""),"",I298-H298)</f>
        <v/>
      </c>
      <c r="M298" s="13">
        <f>IF(B298="","",IF(J298="Parado - cliente",IFERROR(INDEX(Equipamentos!$D$5:$D$10,MATCH(B298,Equipamentos!$A$5:$A$10,0)),0),IF(OR(J298="Parado - manutenção",J298="Sem serviço"),0,MAX(N(K298),IFERROR(INDEX(Equipamentos!$D$5:$D$10,MATCH(B298,Equipamentos!$A$5:$A$10,0)),0)))))</f>
        <v/>
      </c>
      <c r="N298" s="14">
        <f>IF(B298="","",IFERROR(INDEX(Equipamentos!$C$5:$C$10,MATCH(B298,Equipamentos!$A$5:$A$10,0)),0))</f>
        <v/>
      </c>
      <c r="O298" s="14">
        <f>IF(B298="","",M298*N298)</f>
        <v/>
      </c>
      <c r="P298" s="9" t="n"/>
    </row>
    <row r="299">
      <c r="A299" s="15" t="n"/>
      <c r="B299" s="9" t="n"/>
      <c r="C299" s="9" t="n"/>
      <c r="D299" s="9" t="n"/>
      <c r="E299" s="16" t="n"/>
      <c r="F299" s="16" t="n"/>
      <c r="G299" s="16" t="n"/>
      <c r="H299" s="17" t="n"/>
      <c r="I299" s="17" t="n"/>
      <c r="J299" s="9" t="n"/>
      <c r="K299" s="13">
        <f>IF(OR(E299="",F299=""),"",ROUND((MOD(F299-E299,1)-N(G299))*24,2))</f>
        <v/>
      </c>
      <c r="L299" s="13">
        <f>IF(OR(H299="",I299=""),"",I299-H299)</f>
        <v/>
      </c>
      <c r="M299" s="13">
        <f>IF(B299="","",IF(J299="Parado - cliente",IFERROR(INDEX(Equipamentos!$D$5:$D$10,MATCH(B299,Equipamentos!$A$5:$A$10,0)),0),IF(OR(J299="Parado - manutenção",J299="Sem serviço"),0,MAX(N(K299),IFERROR(INDEX(Equipamentos!$D$5:$D$10,MATCH(B299,Equipamentos!$A$5:$A$10,0)),0)))))</f>
        <v/>
      </c>
      <c r="N299" s="14">
        <f>IF(B299="","",IFERROR(INDEX(Equipamentos!$C$5:$C$10,MATCH(B299,Equipamentos!$A$5:$A$10,0)),0))</f>
        <v/>
      </c>
      <c r="O299" s="14">
        <f>IF(B299="","",M299*N299)</f>
        <v/>
      </c>
      <c r="P299" s="9" t="n"/>
    </row>
    <row r="300">
      <c r="A300" s="15" t="n"/>
      <c r="B300" s="9" t="n"/>
      <c r="C300" s="9" t="n"/>
      <c r="D300" s="9" t="n"/>
      <c r="E300" s="16" t="n"/>
      <c r="F300" s="16" t="n"/>
      <c r="G300" s="16" t="n"/>
      <c r="H300" s="17" t="n"/>
      <c r="I300" s="17" t="n"/>
      <c r="J300" s="9" t="n"/>
      <c r="K300" s="13">
        <f>IF(OR(E300="",F300=""),"",ROUND((MOD(F300-E300,1)-N(G300))*24,2))</f>
        <v/>
      </c>
      <c r="L300" s="13">
        <f>IF(OR(H300="",I300=""),"",I300-H300)</f>
        <v/>
      </c>
      <c r="M300" s="13">
        <f>IF(B300="","",IF(J300="Parado - cliente",IFERROR(INDEX(Equipamentos!$D$5:$D$10,MATCH(B300,Equipamentos!$A$5:$A$10,0)),0),IF(OR(J300="Parado - manutenção",J300="Sem serviço"),0,MAX(N(K300),IFERROR(INDEX(Equipamentos!$D$5:$D$10,MATCH(B300,Equipamentos!$A$5:$A$10,0)),0)))))</f>
        <v/>
      </c>
      <c r="N300" s="14">
        <f>IF(B300="","",IFERROR(INDEX(Equipamentos!$C$5:$C$10,MATCH(B300,Equipamentos!$A$5:$A$10,0)),0))</f>
        <v/>
      </c>
      <c r="O300" s="14">
        <f>IF(B300="","",M300*N300)</f>
        <v/>
      </c>
      <c r="P300" s="9" t="n"/>
    </row>
    <row r="301">
      <c r="A301" s="15" t="n"/>
      <c r="B301" s="9" t="n"/>
      <c r="C301" s="9" t="n"/>
      <c r="D301" s="9" t="n"/>
      <c r="E301" s="16" t="n"/>
      <c r="F301" s="16" t="n"/>
      <c r="G301" s="16" t="n"/>
      <c r="H301" s="17" t="n"/>
      <c r="I301" s="17" t="n"/>
      <c r="J301" s="9" t="n"/>
      <c r="K301" s="13">
        <f>IF(OR(E301="",F301=""),"",ROUND((MOD(F301-E301,1)-N(G301))*24,2))</f>
        <v/>
      </c>
      <c r="L301" s="13">
        <f>IF(OR(H301="",I301=""),"",I301-H301)</f>
        <v/>
      </c>
      <c r="M301" s="13">
        <f>IF(B301="","",IF(J301="Parado - cliente",IFERROR(INDEX(Equipamentos!$D$5:$D$10,MATCH(B301,Equipamentos!$A$5:$A$10,0)),0),IF(OR(J301="Parado - manutenção",J301="Sem serviço"),0,MAX(N(K301),IFERROR(INDEX(Equipamentos!$D$5:$D$10,MATCH(B301,Equipamentos!$A$5:$A$10,0)),0)))))</f>
        <v/>
      </c>
      <c r="N301" s="14">
        <f>IF(B301="","",IFERROR(INDEX(Equipamentos!$C$5:$C$10,MATCH(B301,Equipamentos!$A$5:$A$10,0)),0))</f>
        <v/>
      </c>
      <c r="O301" s="14">
        <f>IF(B301="","",M301*N301)</f>
        <v/>
      </c>
      <c r="P301" s="9" t="n"/>
    </row>
    <row r="302">
      <c r="A302" s="15" t="n"/>
      <c r="B302" s="9" t="n"/>
      <c r="C302" s="9" t="n"/>
      <c r="D302" s="9" t="n"/>
      <c r="E302" s="16" t="n"/>
      <c r="F302" s="16" t="n"/>
      <c r="G302" s="16" t="n"/>
      <c r="H302" s="17" t="n"/>
      <c r="I302" s="17" t="n"/>
      <c r="J302" s="9" t="n"/>
      <c r="K302" s="13">
        <f>IF(OR(E302="",F302=""),"",ROUND((MOD(F302-E302,1)-N(G302))*24,2))</f>
        <v/>
      </c>
      <c r="L302" s="13">
        <f>IF(OR(H302="",I302=""),"",I302-H302)</f>
        <v/>
      </c>
      <c r="M302" s="13">
        <f>IF(B302="","",IF(J302="Parado - cliente",IFERROR(INDEX(Equipamentos!$D$5:$D$10,MATCH(B302,Equipamentos!$A$5:$A$10,0)),0),IF(OR(J302="Parado - manutenção",J302="Sem serviço"),0,MAX(N(K302),IFERROR(INDEX(Equipamentos!$D$5:$D$10,MATCH(B302,Equipamentos!$A$5:$A$10,0)),0)))))</f>
        <v/>
      </c>
      <c r="N302" s="14">
        <f>IF(B302="","",IFERROR(INDEX(Equipamentos!$C$5:$C$10,MATCH(B302,Equipamentos!$A$5:$A$10,0)),0))</f>
        <v/>
      </c>
      <c r="O302" s="14">
        <f>IF(B302="","",M302*N302)</f>
        <v/>
      </c>
      <c r="P302" s="9" t="n"/>
    </row>
    <row r="303">
      <c r="A303" s="15" t="n"/>
      <c r="B303" s="9" t="n"/>
      <c r="C303" s="9" t="n"/>
      <c r="D303" s="9" t="n"/>
      <c r="E303" s="16" t="n"/>
      <c r="F303" s="16" t="n"/>
      <c r="G303" s="16" t="n"/>
      <c r="H303" s="17" t="n"/>
      <c r="I303" s="17" t="n"/>
      <c r="J303" s="9" t="n"/>
      <c r="K303" s="13">
        <f>IF(OR(E303="",F303=""),"",ROUND((MOD(F303-E303,1)-N(G303))*24,2))</f>
        <v/>
      </c>
      <c r="L303" s="13">
        <f>IF(OR(H303="",I303=""),"",I303-H303)</f>
        <v/>
      </c>
      <c r="M303" s="13">
        <f>IF(B303="","",IF(J303="Parado - cliente",IFERROR(INDEX(Equipamentos!$D$5:$D$10,MATCH(B303,Equipamentos!$A$5:$A$10,0)),0),IF(OR(J303="Parado - manutenção",J303="Sem serviço"),0,MAX(N(K303),IFERROR(INDEX(Equipamentos!$D$5:$D$10,MATCH(B303,Equipamentos!$A$5:$A$10,0)),0)))))</f>
        <v/>
      </c>
      <c r="N303" s="14">
        <f>IF(B303="","",IFERROR(INDEX(Equipamentos!$C$5:$C$10,MATCH(B303,Equipamentos!$A$5:$A$10,0)),0))</f>
        <v/>
      </c>
      <c r="O303" s="14">
        <f>IF(B303="","",M303*N303)</f>
        <v/>
      </c>
      <c r="P303" s="9" t="n"/>
    </row>
    <row r="304">
      <c r="A304" s="15" t="n"/>
      <c r="B304" s="9" t="n"/>
      <c r="C304" s="9" t="n"/>
      <c r="D304" s="9" t="n"/>
      <c r="E304" s="16" t="n"/>
      <c r="F304" s="16" t="n"/>
      <c r="G304" s="16" t="n"/>
      <c r="H304" s="17" t="n"/>
      <c r="I304" s="17" t="n"/>
      <c r="J304" s="9" t="n"/>
      <c r="K304" s="13">
        <f>IF(OR(E304="",F304=""),"",ROUND((MOD(F304-E304,1)-N(G304))*24,2))</f>
        <v/>
      </c>
      <c r="L304" s="13">
        <f>IF(OR(H304="",I304=""),"",I304-H304)</f>
        <v/>
      </c>
      <c r="M304" s="13">
        <f>IF(B304="","",IF(J304="Parado - cliente",IFERROR(INDEX(Equipamentos!$D$5:$D$10,MATCH(B304,Equipamentos!$A$5:$A$10,0)),0),IF(OR(J304="Parado - manutenção",J304="Sem serviço"),0,MAX(N(K304),IFERROR(INDEX(Equipamentos!$D$5:$D$10,MATCH(B304,Equipamentos!$A$5:$A$10,0)),0)))))</f>
        <v/>
      </c>
      <c r="N304" s="14">
        <f>IF(B304="","",IFERROR(INDEX(Equipamentos!$C$5:$C$10,MATCH(B304,Equipamentos!$A$5:$A$10,0)),0))</f>
        <v/>
      </c>
      <c r="O304" s="14">
        <f>IF(B304="","",M304*N304)</f>
        <v/>
      </c>
      <c r="P304" s="9" t="n"/>
    </row>
    <row r="305">
      <c r="A305" s="15" t="n"/>
      <c r="B305" s="9" t="n"/>
      <c r="C305" s="9" t="n"/>
      <c r="D305" s="9" t="n"/>
      <c r="E305" s="16" t="n"/>
      <c r="F305" s="16" t="n"/>
      <c r="G305" s="16" t="n"/>
      <c r="H305" s="17" t="n"/>
      <c r="I305" s="17" t="n"/>
      <c r="J305" s="9" t="n"/>
      <c r="K305" s="13">
        <f>IF(OR(E305="",F305=""),"",ROUND((MOD(F305-E305,1)-N(G305))*24,2))</f>
        <v/>
      </c>
      <c r="L305" s="13">
        <f>IF(OR(H305="",I305=""),"",I305-H305)</f>
        <v/>
      </c>
      <c r="M305" s="13">
        <f>IF(B305="","",IF(J305="Parado - cliente",IFERROR(INDEX(Equipamentos!$D$5:$D$10,MATCH(B305,Equipamentos!$A$5:$A$10,0)),0),IF(OR(J305="Parado - manutenção",J305="Sem serviço"),0,MAX(N(K305),IFERROR(INDEX(Equipamentos!$D$5:$D$10,MATCH(B305,Equipamentos!$A$5:$A$10,0)),0)))))</f>
        <v/>
      </c>
      <c r="N305" s="14">
        <f>IF(B305="","",IFERROR(INDEX(Equipamentos!$C$5:$C$10,MATCH(B305,Equipamentos!$A$5:$A$10,0)),0))</f>
        <v/>
      </c>
      <c r="O305" s="14">
        <f>IF(B305="","",M305*N305)</f>
        <v/>
      </c>
      <c r="P305" s="9" t="n"/>
    </row>
    <row r="306">
      <c r="A306" s="15" t="n"/>
      <c r="B306" s="9" t="n"/>
      <c r="C306" s="9" t="n"/>
      <c r="D306" s="9" t="n"/>
      <c r="E306" s="16" t="n"/>
      <c r="F306" s="16" t="n"/>
      <c r="G306" s="16" t="n"/>
      <c r="H306" s="17" t="n"/>
      <c r="I306" s="17" t="n"/>
      <c r="J306" s="9" t="n"/>
      <c r="K306" s="13">
        <f>IF(OR(E306="",F306=""),"",ROUND((MOD(F306-E306,1)-N(G306))*24,2))</f>
        <v/>
      </c>
      <c r="L306" s="13">
        <f>IF(OR(H306="",I306=""),"",I306-H306)</f>
        <v/>
      </c>
      <c r="M306" s="13">
        <f>IF(B306="","",IF(J306="Parado - cliente",IFERROR(INDEX(Equipamentos!$D$5:$D$10,MATCH(B306,Equipamentos!$A$5:$A$10,0)),0),IF(OR(J306="Parado - manutenção",J306="Sem serviço"),0,MAX(N(K306),IFERROR(INDEX(Equipamentos!$D$5:$D$10,MATCH(B306,Equipamentos!$A$5:$A$10,0)),0)))))</f>
        <v/>
      </c>
      <c r="N306" s="14">
        <f>IF(B306="","",IFERROR(INDEX(Equipamentos!$C$5:$C$10,MATCH(B306,Equipamentos!$A$5:$A$10,0)),0))</f>
        <v/>
      </c>
      <c r="O306" s="14">
        <f>IF(B306="","",M306*N306)</f>
        <v/>
      </c>
      <c r="P306" s="9" t="n"/>
    </row>
    <row r="307">
      <c r="A307" s="15" t="n"/>
      <c r="B307" s="9" t="n"/>
      <c r="C307" s="9" t="n"/>
      <c r="D307" s="9" t="n"/>
      <c r="E307" s="16" t="n"/>
      <c r="F307" s="16" t="n"/>
      <c r="G307" s="16" t="n"/>
      <c r="H307" s="17" t="n"/>
      <c r="I307" s="17" t="n"/>
      <c r="J307" s="9" t="n"/>
      <c r="K307" s="13">
        <f>IF(OR(E307="",F307=""),"",ROUND((MOD(F307-E307,1)-N(G307))*24,2))</f>
        <v/>
      </c>
      <c r="L307" s="13">
        <f>IF(OR(H307="",I307=""),"",I307-H307)</f>
        <v/>
      </c>
      <c r="M307" s="13">
        <f>IF(B307="","",IF(J307="Parado - cliente",IFERROR(INDEX(Equipamentos!$D$5:$D$10,MATCH(B307,Equipamentos!$A$5:$A$10,0)),0),IF(OR(J307="Parado - manutenção",J307="Sem serviço"),0,MAX(N(K307),IFERROR(INDEX(Equipamentos!$D$5:$D$10,MATCH(B307,Equipamentos!$A$5:$A$10,0)),0)))))</f>
        <v/>
      </c>
      <c r="N307" s="14">
        <f>IF(B307="","",IFERROR(INDEX(Equipamentos!$C$5:$C$10,MATCH(B307,Equipamentos!$A$5:$A$10,0)),0))</f>
        <v/>
      </c>
      <c r="O307" s="14">
        <f>IF(B307="","",M307*N307)</f>
        <v/>
      </c>
      <c r="P307" s="9" t="n"/>
    </row>
    <row r="308">
      <c r="A308" s="15" t="n"/>
      <c r="B308" s="9" t="n"/>
      <c r="C308" s="9" t="n"/>
      <c r="D308" s="9" t="n"/>
      <c r="E308" s="16" t="n"/>
      <c r="F308" s="16" t="n"/>
      <c r="G308" s="16" t="n"/>
      <c r="H308" s="17" t="n"/>
      <c r="I308" s="17" t="n"/>
      <c r="J308" s="9" t="n"/>
      <c r="K308" s="13">
        <f>IF(OR(E308="",F308=""),"",ROUND((MOD(F308-E308,1)-N(G308))*24,2))</f>
        <v/>
      </c>
      <c r="L308" s="13">
        <f>IF(OR(H308="",I308=""),"",I308-H308)</f>
        <v/>
      </c>
      <c r="M308" s="13">
        <f>IF(B308="","",IF(J308="Parado - cliente",IFERROR(INDEX(Equipamentos!$D$5:$D$10,MATCH(B308,Equipamentos!$A$5:$A$10,0)),0),IF(OR(J308="Parado - manutenção",J308="Sem serviço"),0,MAX(N(K308),IFERROR(INDEX(Equipamentos!$D$5:$D$10,MATCH(B308,Equipamentos!$A$5:$A$10,0)),0)))))</f>
        <v/>
      </c>
      <c r="N308" s="14">
        <f>IF(B308="","",IFERROR(INDEX(Equipamentos!$C$5:$C$10,MATCH(B308,Equipamentos!$A$5:$A$10,0)),0))</f>
        <v/>
      </c>
      <c r="O308" s="14">
        <f>IF(B308="","",M308*N308)</f>
        <v/>
      </c>
      <c r="P308" s="9" t="n"/>
    </row>
    <row r="309">
      <c r="A309" s="15" t="n"/>
      <c r="B309" s="9" t="n"/>
      <c r="C309" s="9" t="n"/>
      <c r="D309" s="9" t="n"/>
      <c r="E309" s="16" t="n"/>
      <c r="F309" s="16" t="n"/>
      <c r="G309" s="16" t="n"/>
      <c r="H309" s="17" t="n"/>
      <c r="I309" s="17" t="n"/>
      <c r="J309" s="9" t="n"/>
      <c r="K309" s="13">
        <f>IF(OR(E309="",F309=""),"",ROUND((MOD(F309-E309,1)-N(G309))*24,2))</f>
        <v/>
      </c>
      <c r="L309" s="13">
        <f>IF(OR(H309="",I309=""),"",I309-H309)</f>
        <v/>
      </c>
      <c r="M309" s="13">
        <f>IF(B309="","",IF(J309="Parado - cliente",IFERROR(INDEX(Equipamentos!$D$5:$D$10,MATCH(B309,Equipamentos!$A$5:$A$10,0)),0),IF(OR(J309="Parado - manutenção",J309="Sem serviço"),0,MAX(N(K309),IFERROR(INDEX(Equipamentos!$D$5:$D$10,MATCH(B309,Equipamentos!$A$5:$A$10,0)),0)))))</f>
        <v/>
      </c>
      <c r="N309" s="14">
        <f>IF(B309="","",IFERROR(INDEX(Equipamentos!$C$5:$C$10,MATCH(B309,Equipamentos!$A$5:$A$10,0)),0))</f>
        <v/>
      </c>
      <c r="O309" s="14">
        <f>IF(B309="","",M309*N309)</f>
        <v/>
      </c>
      <c r="P309" s="9" t="n"/>
    </row>
    <row r="310">
      <c r="A310" s="15" t="n"/>
      <c r="B310" s="9" t="n"/>
      <c r="C310" s="9" t="n"/>
      <c r="D310" s="9" t="n"/>
      <c r="E310" s="16" t="n"/>
      <c r="F310" s="16" t="n"/>
      <c r="G310" s="16" t="n"/>
      <c r="H310" s="17" t="n"/>
      <c r="I310" s="17" t="n"/>
      <c r="J310" s="9" t="n"/>
      <c r="K310" s="13">
        <f>IF(OR(E310="",F310=""),"",ROUND((MOD(F310-E310,1)-N(G310))*24,2))</f>
        <v/>
      </c>
      <c r="L310" s="13">
        <f>IF(OR(H310="",I310=""),"",I310-H310)</f>
        <v/>
      </c>
      <c r="M310" s="13">
        <f>IF(B310="","",IF(J310="Parado - cliente",IFERROR(INDEX(Equipamentos!$D$5:$D$10,MATCH(B310,Equipamentos!$A$5:$A$10,0)),0),IF(OR(J310="Parado - manutenção",J310="Sem serviço"),0,MAX(N(K310),IFERROR(INDEX(Equipamentos!$D$5:$D$10,MATCH(B310,Equipamentos!$A$5:$A$10,0)),0)))))</f>
        <v/>
      </c>
      <c r="N310" s="14">
        <f>IF(B310="","",IFERROR(INDEX(Equipamentos!$C$5:$C$10,MATCH(B310,Equipamentos!$A$5:$A$10,0)),0))</f>
        <v/>
      </c>
      <c r="O310" s="14">
        <f>IF(B310="","",M310*N310)</f>
        <v/>
      </c>
      <c r="P310" s="9" t="n"/>
    </row>
    <row r="311">
      <c r="A311" s="15" t="n"/>
      <c r="B311" s="9" t="n"/>
      <c r="C311" s="9" t="n"/>
      <c r="D311" s="9" t="n"/>
      <c r="E311" s="16" t="n"/>
      <c r="F311" s="16" t="n"/>
      <c r="G311" s="16" t="n"/>
      <c r="H311" s="17" t="n"/>
      <c r="I311" s="17" t="n"/>
      <c r="J311" s="9" t="n"/>
      <c r="K311" s="13">
        <f>IF(OR(E311="",F311=""),"",ROUND((MOD(F311-E311,1)-N(G311))*24,2))</f>
        <v/>
      </c>
      <c r="L311" s="13">
        <f>IF(OR(H311="",I311=""),"",I311-H311)</f>
        <v/>
      </c>
      <c r="M311" s="13">
        <f>IF(B311="","",IF(J311="Parado - cliente",IFERROR(INDEX(Equipamentos!$D$5:$D$10,MATCH(B311,Equipamentos!$A$5:$A$10,0)),0),IF(OR(J311="Parado - manutenção",J311="Sem serviço"),0,MAX(N(K311),IFERROR(INDEX(Equipamentos!$D$5:$D$10,MATCH(B311,Equipamentos!$A$5:$A$10,0)),0)))))</f>
        <v/>
      </c>
      <c r="N311" s="14">
        <f>IF(B311="","",IFERROR(INDEX(Equipamentos!$C$5:$C$10,MATCH(B311,Equipamentos!$A$5:$A$10,0)),0))</f>
        <v/>
      </c>
      <c r="O311" s="14">
        <f>IF(B311="","",M311*N311)</f>
        <v/>
      </c>
      <c r="P311" s="9" t="n"/>
    </row>
    <row r="312">
      <c r="A312" s="15" t="n"/>
      <c r="B312" s="9" t="n"/>
      <c r="C312" s="9" t="n"/>
      <c r="D312" s="9" t="n"/>
      <c r="E312" s="16" t="n"/>
      <c r="F312" s="16" t="n"/>
      <c r="G312" s="16" t="n"/>
      <c r="H312" s="17" t="n"/>
      <c r="I312" s="17" t="n"/>
      <c r="J312" s="9" t="n"/>
      <c r="K312" s="13">
        <f>IF(OR(E312="",F312=""),"",ROUND((MOD(F312-E312,1)-N(G312))*24,2))</f>
        <v/>
      </c>
      <c r="L312" s="13">
        <f>IF(OR(H312="",I312=""),"",I312-H312)</f>
        <v/>
      </c>
      <c r="M312" s="13">
        <f>IF(B312="","",IF(J312="Parado - cliente",IFERROR(INDEX(Equipamentos!$D$5:$D$10,MATCH(B312,Equipamentos!$A$5:$A$10,0)),0),IF(OR(J312="Parado - manutenção",J312="Sem serviço"),0,MAX(N(K312),IFERROR(INDEX(Equipamentos!$D$5:$D$10,MATCH(B312,Equipamentos!$A$5:$A$10,0)),0)))))</f>
        <v/>
      </c>
      <c r="N312" s="14">
        <f>IF(B312="","",IFERROR(INDEX(Equipamentos!$C$5:$C$10,MATCH(B312,Equipamentos!$A$5:$A$10,0)),0))</f>
        <v/>
      </c>
      <c r="O312" s="14">
        <f>IF(B312="","",M312*N312)</f>
        <v/>
      </c>
      <c r="P312" s="9" t="n"/>
    </row>
    <row r="313">
      <c r="A313" s="15" t="n"/>
      <c r="B313" s="9" t="n"/>
      <c r="C313" s="9" t="n"/>
      <c r="D313" s="9" t="n"/>
      <c r="E313" s="16" t="n"/>
      <c r="F313" s="16" t="n"/>
      <c r="G313" s="16" t="n"/>
      <c r="H313" s="17" t="n"/>
      <c r="I313" s="17" t="n"/>
      <c r="J313" s="9" t="n"/>
      <c r="K313" s="13">
        <f>IF(OR(E313="",F313=""),"",ROUND((MOD(F313-E313,1)-N(G313))*24,2))</f>
        <v/>
      </c>
      <c r="L313" s="13">
        <f>IF(OR(H313="",I313=""),"",I313-H313)</f>
        <v/>
      </c>
      <c r="M313" s="13">
        <f>IF(B313="","",IF(J313="Parado - cliente",IFERROR(INDEX(Equipamentos!$D$5:$D$10,MATCH(B313,Equipamentos!$A$5:$A$10,0)),0),IF(OR(J313="Parado - manutenção",J313="Sem serviço"),0,MAX(N(K313),IFERROR(INDEX(Equipamentos!$D$5:$D$10,MATCH(B313,Equipamentos!$A$5:$A$10,0)),0)))))</f>
        <v/>
      </c>
      <c r="N313" s="14">
        <f>IF(B313="","",IFERROR(INDEX(Equipamentos!$C$5:$C$10,MATCH(B313,Equipamentos!$A$5:$A$10,0)),0))</f>
        <v/>
      </c>
      <c r="O313" s="14">
        <f>IF(B313="","",M313*N313)</f>
        <v/>
      </c>
      <c r="P313" s="9" t="n"/>
    </row>
    <row r="314">
      <c r="A314" s="15" t="n"/>
      <c r="B314" s="9" t="n"/>
      <c r="C314" s="9" t="n"/>
      <c r="D314" s="9" t="n"/>
      <c r="E314" s="16" t="n"/>
      <c r="F314" s="16" t="n"/>
      <c r="G314" s="16" t="n"/>
      <c r="H314" s="17" t="n"/>
      <c r="I314" s="17" t="n"/>
      <c r="J314" s="9" t="n"/>
      <c r="K314" s="13">
        <f>IF(OR(E314="",F314=""),"",ROUND((MOD(F314-E314,1)-N(G314))*24,2))</f>
        <v/>
      </c>
      <c r="L314" s="13">
        <f>IF(OR(H314="",I314=""),"",I314-H314)</f>
        <v/>
      </c>
      <c r="M314" s="13">
        <f>IF(B314="","",IF(J314="Parado - cliente",IFERROR(INDEX(Equipamentos!$D$5:$D$10,MATCH(B314,Equipamentos!$A$5:$A$10,0)),0),IF(OR(J314="Parado - manutenção",J314="Sem serviço"),0,MAX(N(K314),IFERROR(INDEX(Equipamentos!$D$5:$D$10,MATCH(B314,Equipamentos!$A$5:$A$10,0)),0)))))</f>
        <v/>
      </c>
      <c r="N314" s="14">
        <f>IF(B314="","",IFERROR(INDEX(Equipamentos!$C$5:$C$10,MATCH(B314,Equipamentos!$A$5:$A$10,0)),0))</f>
        <v/>
      </c>
      <c r="O314" s="14">
        <f>IF(B314="","",M314*N314)</f>
        <v/>
      </c>
      <c r="P314" s="9" t="n"/>
    </row>
    <row r="315">
      <c r="A315" s="15" t="n"/>
      <c r="B315" s="9" t="n"/>
      <c r="C315" s="9" t="n"/>
      <c r="D315" s="9" t="n"/>
      <c r="E315" s="16" t="n"/>
      <c r="F315" s="16" t="n"/>
      <c r="G315" s="16" t="n"/>
      <c r="H315" s="17" t="n"/>
      <c r="I315" s="17" t="n"/>
      <c r="J315" s="9" t="n"/>
      <c r="K315" s="13">
        <f>IF(OR(E315="",F315=""),"",ROUND((MOD(F315-E315,1)-N(G315))*24,2))</f>
        <v/>
      </c>
      <c r="L315" s="13">
        <f>IF(OR(H315="",I315=""),"",I315-H315)</f>
        <v/>
      </c>
      <c r="M315" s="13">
        <f>IF(B315="","",IF(J315="Parado - cliente",IFERROR(INDEX(Equipamentos!$D$5:$D$10,MATCH(B315,Equipamentos!$A$5:$A$10,0)),0),IF(OR(J315="Parado - manutenção",J315="Sem serviço"),0,MAX(N(K315),IFERROR(INDEX(Equipamentos!$D$5:$D$10,MATCH(B315,Equipamentos!$A$5:$A$10,0)),0)))))</f>
        <v/>
      </c>
      <c r="N315" s="14">
        <f>IF(B315="","",IFERROR(INDEX(Equipamentos!$C$5:$C$10,MATCH(B315,Equipamentos!$A$5:$A$10,0)),0))</f>
        <v/>
      </c>
      <c r="O315" s="14">
        <f>IF(B315="","",M315*N315)</f>
        <v/>
      </c>
      <c r="P315" s="9" t="n"/>
    </row>
    <row r="316">
      <c r="A316" s="15" t="n"/>
      <c r="B316" s="9" t="n"/>
      <c r="C316" s="9" t="n"/>
      <c r="D316" s="9" t="n"/>
      <c r="E316" s="16" t="n"/>
      <c r="F316" s="16" t="n"/>
      <c r="G316" s="16" t="n"/>
      <c r="H316" s="17" t="n"/>
      <c r="I316" s="17" t="n"/>
      <c r="J316" s="9" t="n"/>
      <c r="K316" s="13">
        <f>IF(OR(E316="",F316=""),"",ROUND((MOD(F316-E316,1)-N(G316))*24,2))</f>
        <v/>
      </c>
      <c r="L316" s="13">
        <f>IF(OR(H316="",I316=""),"",I316-H316)</f>
        <v/>
      </c>
      <c r="M316" s="13">
        <f>IF(B316="","",IF(J316="Parado - cliente",IFERROR(INDEX(Equipamentos!$D$5:$D$10,MATCH(B316,Equipamentos!$A$5:$A$10,0)),0),IF(OR(J316="Parado - manutenção",J316="Sem serviço"),0,MAX(N(K316),IFERROR(INDEX(Equipamentos!$D$5:$D$10,MATCH(B316,Equipamentos!$A$5:$A$10,0)),0)))))</f>
        <v/>
      </c>
      <c r="N316" s="14">
        <f>IF(B316="","",IFERROR(INDEX(Equipamentos!$C$5:$C$10,MATCH(B316,Equipamentos!$A$5:$A$10,0)),0))</f>
        <v/>
      </c>
      <c r="O316" s="14">
        <f>IF(B316="","",M316*N316)</f>
        <v/>
      </c>
      <c r="P316" s="9" t="n"/>
    </row>
    <row r="317">
      <c r="A317" s="15" t="n"/>
      <c r="B317" s="9" t="n"/>
      <c r="C317" s="9" t="n"/>
      <c r="D317" s="9" t="n"/>
      <c r="E317" s="16" t="n"/>
      <c r="F317" s="16" t="n"/>
      <c r="G317" s="16" t="n"/>
      <c r="H317" s="17" t="n"/>
      <c r="I317" s="17" t="n"/>
      <c r="J317" s="9" t="n"/>
      <c r="K317" s="13">
        <f>IF(OR(E317="",F317=""),"",ROUND((MOD(F317-E317,1)-N(G317))*24,2))</f>
        <v/>
      </c>
      <c r="L317" s="13">
        <f>IF(OR(H317="",I317=""),"",I317-H317)</f>
        <v/>
      </c>
      <c r="M317" s="13">
        <f>IF(B317="","",IF(J317="Parado - cliente",IFERROR(INDEX(Equipamentos!$D$5:$D$10,MATCH(B317,Equipamentos!$A$5:$A$10,0)),0),IF(OR(J317="Parado - manutenção",J317="Sem serviço"),0,MAX(N(K317),IFERROR(INDEX(Equipamentos!$D$5:$D$10,MATCH(B317,Equipamentos!$A$5:$A$10,0)),0)))))</f>
        <v/>
      </c>
      <c r="N317" s="14">
        <f>IF(B317="","",IFERROR(INDEX(Equipamentos!$C$5:$C$10,MATCH(B317,Equipamentos!$A$5:$A$10,0)),0))</f>
        <v/>
      </c>
      <c r="O317" s="14">
        <f>IF(B317="","",M317*N317)</f>
        <v/>
      </c>
      <c r="P317" s="9" t="n"/>
    </row>
    <row r="318">
      <c r="A318" s="15" t="n"/>
      <c r="B318" s="9" t="n"/>
      <c r="C318" s="9" t="n"/>
      <c r="D318" s="9" t="n"/>
      <c r="E318" s="16" t="n"/>
      <c r="F318" s="16" t="n"/>
      <c r="G318" s="16" t="n"/>
      <c r="H318" s="17" t="n"/>
      <c r="I318" s="17" t="n"/>
      <c r="J318" s="9" t="n"/>
      <c r="K318" s="13">
        <f>IF(OR(E318="",F318=""),"",ROUND((MOD(F318-E318,1)-N(G318))*24,2))</f>
        <v/>
      </c>
      <c r="L318" s="13">
        <f>IF(OR(H318="",I318=""),"",I318-H318)</f>
        <v/>
      </c>
      <c r="M318" s="13">
        <f>IF(B318="","",IF(J318="Parado - cliente",IFERROR(INDEX(Equipamentos!$D$5:$D$10,MATCH(B318,Equipamentos!$A$5:$A$10,0)),0),IF(OR(J318="Parado - manutenção",J318="Sem serviço"),0,MAX(N(K318),IFERROR(INDEX(Equipamentos!$D$5:$D$10,MATCH(B318,Equipamentos!$A$5:$A$10,0)),0)))))</f>
        <v/>
      </c>
      <c r="N318" s="14">
        <f>IF(B318="","",IFERROR(INDEX(Equipamentos!$C$5:$C$10,MATCH(B318,Equipamentos!$A$5:$A$10,0)),0))</f>
        <v/>
      </c>
      <c r="O318" s="14">
        <f>IF(B318="","",M318*N318)</f>
        <v/>
      </c>
      <c r="P318" s="9" t="n"/>
    </row>
    <row r="319">
      <c r="A319" s="15" t="n"/>
      <c r="B319" s="9" t="n"/>
      <c r="C319" s="9" t="n"/>
      <c r="D319" s="9" t="n"/>
      <c r="E319" s="16" t="n"/>
      <c r="F319" s="16" t="n"/>
      <c r="G319" s="16" t="n"/>
      <c r="H319" s="17" t="n"/>
      <c r="I319" s="17" t="n"/>
      <c r="J319" s="9" t="n"/>
      <c r="K319" s="13">
        <f>IF(OR(E319="",F319=""),"",ROUND((MOD(F319-E319,1)-N(G319))*24,2))</f>
        <v/>
      </c>
      <c r="L319" s="13">
        <f>IF(OR(H319="",I319=""),"",I319-H319)</f>
        <v/>
      </c>
      <c r="M319" s="13">
        <f>IF(B319="","",IF(J319="Parado - cliente",IFERROR(INDEX(Equipamentos!$D$5:$D$10,MATCH(B319,Equipamentos!$A$5:$A$10,0)),0),IF(OR(J319="Parado - manutenção",J319="Sem serviço"),0,MAX(N(K319),IFERROR(INDEX(Equipamentos!$D$5:$D$10,MATCH(B319,Equipamentos!$A$5:$A$10,0)),0)))))</f>
        <v/>
      </c>
      <c r="N319" s="14">
        <f>IF(B319="","",IFERROR(INDEX(Equipamentos!$C$5:$C$10,MATCH(B319,Equipamentos!$A$5:$A$10,0)),0))</f>
        <v/>
      </c>
      <c r="O319" s="14">
        <f>IF(B319="","",M319*N319)</f>
        <v/>
      </c>
      <c r="P319" s="9" t="n"/>
    </row>
    <row r="320">
      <c r="A320" s="15" t="n"/>
      <c r="B320" s="9" t="n"/>
      <c r="C320" s="9" t="n"/>
      <c r="D320" s="9" t="n"/>
      <c r="E320" s="16" t="n"/>
      <c r="F320" s="16" t="n"/>
      <c r="G320" s="16" t="n"/>
      <c r="H320" s="17" t="n"/>
      <c r="I320" s="17" t="n"/>
      <c r="J320" s="9" t="n"/>
      <c r="K320" s="13">
        <f>IF(OR(E320="",F320=""),"",ROUND((MOD(F320-E320,1)-N(G320))*24,2))</f>
        <v/>
      </c>
      <c r="L320" s="13">
        <f>IF(OR(H320="",I320=""),"",I320-H320)</f>
        <v/>
      </c>
      <c r="M320" s="13">
        <f>IF(B320="","",IF(J320="Parado - cliente",IFERROR(INDEX(Equipamentos!$D$5:$D$10,MATCH(B320,Equipamentos!$A$5:$A$10,0)),0),IF(OR(J320="Parado - manutenção",J320="Sem serviço"),0,MAX(N(K320),IFERROR(INDEX(Equipamentos!$D$5:$D$10,MATCH(B320,Equipamentos!$A$5:$A$10,0)),0)))))</f>
        <v/>
      </c>
      <c r="N320" s="14">
        <f>IF(B320="","",IFERROR(INDEX(Equipamentos!$C$5:$C$10,MATCH(B320,Equipamentos!$A$5:$A$10,0)),0))</f>
        <v/>
      </c>
      <c r="O320" s="14">
        <f>IF(B320="","",M320*N320)</f>
        <v/>
      </c>
      <c r="P320" s="9" t="n"/>
    </row>
    <row r="321">
      <c r="A321" s="15" t="n"/>
      <c r="B321" s="9" t="n"/>
      <c r="C321" s="9" t="n"/>
      <c r="D321" s="9" t="n"/>
      <c r="E321" s="16" t="n"/>
      <c r="F321" s="16" t="n"/>
      <c r="G321" s="16" t="n"/>
      <c r="H321" s="17" t="n"/>
      <c r="I321" s="17" t="n"/>
      <c r="J321" s="9" t="n"/>
      <c r="K321" s="13">
        <f>IF(OR(E321="",F321=""),"",ROUND((MOD(F321-E321,1)-N(G321))*24,2))</f>
        <v/>
      </c>
      <c r="L321" s="13">
        <f>IF(OR(H321="",I321=""),"",I321-H321)</f>
        <v/>
      </c>
      <c r="M321" s="13">
        <f>IF(B321="","",IF(J321="Parado - cliente",IFERROR(INDEX(Equipamentos!$D$5:$D$10,MATCH(B321,Equipamentos!$A$5:$A$10,0)),0),IF(OR(J321="Parado - manutenção",J321="Sem serviço"),0,MAX(N(K321),IFERROR(INDEX(Equipamentos!$D$5:$D$10,MATCH(B321,Equipamentos!$A$5:$A$10,0)),0)))))</f>
        <v/>
      </c>
      <c r="N321" s="14">
        <f>IF(B321="","",IFERROR(INDEX(Equipamentos!$C$5:$C$10,MATCH(B321,Equipamentos!$A$5:$A$10,0)),0))</f>
        <v/>
      </c>
      <c r="O321" s="14">
        <f>IF(B321="","",M321*N321)</f>
        <v/>
      </c>
      <c r="P321" s="9" t="n"/>
    </row>
    <row r="322">
      <c r="A322" s="15" t="n"/>
      <c r="B322" s="9" t="n"/>
      <c r="C322" s="9" t="n"/>
      <c r="D322" s="9" t="n"/>
      <c r="E322" s="16" t="n"/>
      <c r="F322" s="16" t="n"/>
      <c r="G322" s="16" t="n"/>
      <c r="H322" s="17" t="n"/>
      <c r="I322" s="17" t="n"/>
      <c r="J322" s="9" t="n"/>
      <c r="K322" s="13">
        <f>IF(OR(E322="",F322=""),"",ROUND((MOD(F322-E322,1)-N(G322))*24,2))</f>
        <v/>
      </c>
      <c r="L322" s="13">
        <f>IF(OR(H322="",I322=""),"",I322-H322)</f>
        <v/>
      </c>
      <c r="M322" s="13">
        <f>IF(B322="","",IF(J322="Parado - cliente",IFERROR(INDEX(Equipamentos!$D$5:$D$10,MATCH(B322,Equipamentos!$A$5:$A$10,0)),0),IF(OR(J322="Parado - manutenção",J322="Sem serviço"),0,MAX(N(K322),IFERROR(INDEX(Equipamentos!$D$5:$D$10,MATCH(B322,Equipamentos!$A$5:$A$10,0)),0)))))</f>
        <v/>
      </c>
      <c r="N322" s="14">
        <f>IF(B322="","",IFERROR(INDEX(Equipamentos!$C$5:$C$10,MATCH(B322,Equipamentos!$A$5:$A$10,0)),0))</f>
        <v/>
      </c>
      <c r="O322" s="14">
        <f>IF(B322="","",M322*N322)</f>
        <v/>
      </c>
      <c r="P322" s="9" t="n"/>
    </row>
    <row r="323">
      <c r="A323" s="15" t="n"/>
      <c r="B323" s="9" t="n"/>
      <c r="C323" s="9" t="n"/>
      <c r="D323" s="9" t="n"/>
      <c r="E323" s="16" t="n"/>
      <c r="F323" s="16" t="n"/>
      <c r="G323" s="16" t="n"/>
      <c r="H323" s="17" t="n"/>
      <c r="I323" s="17" t="n"/>
      <c r="J323" s="9" t="n"/>
      <c r="K323" s="13">
        <f>IF(OR(E323="",F323=""),"",ROUND((MOD(F323-E323,1)-N(G323))*24,2))</f>
        <v/>
      </c>
      <c r="L323" s="13">
        <f>IF(OR(H323="",I323=""),"",I323-H323)</f>
        <v/>
      </c>
      <c r="M323" s="13">
        <f>IF(B323="","",IF(J323="Parado - cliente",IFERROR(INDEX(Equipamentos!$D$5:$D$10,MATCH(B323,Equipamentos!$A$5:$A$10,0)),0),IF(OR(J323="Parado - manutenção",J323="Sem serviço"),0,MAX(N(K323),IFERROR(INDEX(Equipamentos!$D$5:$D$10,MATCH(B323,Equipamentos!$A$5:$A$10,0)),0)))))</f>
        <v/>
      </c>
      <c r="N323" s="14">
        <f>IF(B323="","",IFERROR(INDEX(Equipamentos!$C$5:$C$10,MATCH(B323,Equipamentos!$A$5:$A$10,0)),0))</f>
        <v/>
      </c>
      <c r="O323" s="14">
        <f>IF(B323="","",M323*N323)</f>
        <v/>
      </c>
      <c r="P323" s="9" t="n"/>
    </row>
    <row r="324">
      <c r="A324" s="15" t="n"/>
      <c r="B324" s="9" t="n"/>
      <c r="C324" s="9" t="n"/>
      <c r="D324" s="9" t="n"/>
      <c r="E324" s="16" t="n"/>
      <c r="F324" s="16" t="n"/>
      <c r="G324" s="16" t="n"/>
      <c r="H324" s="17" t="n"/>
      <c r="I324" s="17" t="n"/>
      <c r="J324" s="9" t="n"/>
      <c r="K324" s="13">
        <f>IF(OR(E324="",F324=""),"",ROUND((MOD(F324-E324,1)-N(G324))*24,2))</f>
        <v/>
      </c>
      <c r="L324" s="13">
        <f>IF(OR(H324="",I324=""),"",I324-H324)</f>
        <v/>
      </c>
      <c r="M324" s="13">
        <f>IF(B324="","",IF(J324="Parado - cliente",IFERROR(INDEX(Equipamentos!$D$5:$D$10,MATCH(B324,Equipamentos!$A$5:$A$10,0)),0),IF(OR(J324="Parado - manutenção",J324="Sem serviço"),0,MAX(N(K324),IFERROR(INDEX(Equipamentos!$D$5:$D$10,MATCH(B324,Equipamentos!$A$5:$A$10,0)),0)))))</f>
        <v/>
      </c>
      <c r="N324" s="14">
        <f>IF(B324="","",IFERROR(INDEX(Equipamentos!$C$5:$C$10,MATCH(B324,Equipamentos!$A$5:$A$10,0)),0))</f>
        <v/>
      </c>
      <c r="O324" s="14">
        <f>IF(B324="","",M324*N324)</f>
        <v/>
      </c>
      <c r="P324" s="9" t="n"/>
    </row>
    <row r="325">
      <c r="A325" s="15" t="n"/>
      <c r="B325" s="9" t="n"/>
      <c r="C325" s="9" t="n"/>
      <c r="D325" s="9" t="n"/>
      <c r="E325" s="16" t="n"/>
      <c r="F325" s="16" t="n"/>
      <c r="G325" s="16" t="n"/>
      <c r="H325" s="17" t="n"/>
      <c r="I325" s="17" t="n"/>
      <c r="J325" s="9" t="n"/>
      <c r="K325" s="13">
        <f>IF(OR(E325="",F325=""),"",ROUND((MOD(F325-E325,1)-N(G325))*24,2))</f>
        <v/>
      </c>
      <c r="L325" s="13">
        <f>IF(OR(H325="",I325=""),"",I325-H325)</f>
        <v/>
      </c>
      <c r="M325" s="13">
        <f>IF(B325="","",IF(J325="Parado - cliente",IFERROR(INDEX(Equipamentos!$D$5:$D$10,MATCH(B325,Equipamentos!$A$5:$A$10,0)),0),IF(OR(J325="Parado - manutenção",J325="Sem serviço"),0,MAX(N(K325),IFERROR(INDEX(Equipamentos!$D$5:$D$10,MATCH(B325,Equipamentos!$A$5:$A$10,0)),0)))))</f>
        <v/>
      </c>
      <c r="N325" s="14">
        <f>IF(B325="","",IFERROR(INDEX(Equipamentos!$C$5:$C$10,MATCH(B325,Equipamentos!$A$5:$A$10,0)),0))</f>
        <v/>
      </c>
      <c r="O325" s="14">
        <f>IF(B325="","",M325*N325)</f>
        <v/>
      </c>
      <c r="P325" s="9" t="n"/>
    </row>
    <row r="326">
      <c r="A326" s="15" t="n"/>
      <c r="B326" s="9" t="n"/>
      <c r="C326" s="9" t="n"/>
      <c r="D326" s="9" t="n"/>
      <c r="E326" s="16" t="n"/>
      <c r="F326" s="16" t="n"/>
      <c r="G326" s="16" t="n"/>
      <c r="H326" s="17" t="n"/>
      <c r="I326" s="17" t="n"/>
      <c r="J326" s="9" t="n"/>
      <c r="K326" s="13">
        <f>IF(OR(E326="",F326=""),"",ROUND((MOD(F326-E326,1)-N(G326))*24,2))</f>
        <v/>
      </c>
      <c r="L326" s="13">
        <f>IF(OR(H326="",I326=""),"",I326-H326)</f>
        <v/>
      </c>
      <c r="M326" s="13">
        <f>IF(B326="","",IF(J326="Parado - cliente",IFERROR(INDEX(Equipamentos!$D$5:$D$10,MATCH(B326,Equipamentos!$A$5:$A$10,0)),0),IF(OR(J326="Parado - manutenção",J326="Sem serviço"),0,MAX(N(K326),IFERROR(INDEX(Equipamentos!$D$5:$D$10,MATCH(B326,Equipamentos!$A$5:$A$10,0)),0)))))</f>
        <v/>
      </c>
      <c r="N326" s="14">
        <f>IF(B326="","",IFERROR(INDEX(Equipamentos!$C$5:$C$10,MATCH(B326,Equipamentos!$A$5:$A$10,0)),0))</f>
        <v/>
      </c>
      <c r="O326" s="14">
        <f>IF(B326="","",M326*N326)</f>
        <v/>
      </c>
      <c r="P326" s="9" t="n"/>
    </row>
    <row r="327">
      <c r="A327" s="15" t="n"/>
      <c r="B327" s="9" t="n"/>
      <c r="C327" s="9" t="n"/>
      <c r="D327" s="9" t="n"/>
      <c r="E327" s="16" t="n"/>
      <c r="F327" s="16" t="n"/>
      <c r="G327" s="16" t="n"/>
      <c r="H327" s="17" t="n"/>
      <c r="I327" s="17" t="n"/>
      <c r="J327" s="9" t="n"/>
      <c r="K327" s="13">
        <f>IF(OR(E327="",F327=""),"",ROUND((MOD(F327-E327,1)-N(G327))*24,2))</f>
        <v/>
      </c>
      <c r="L327" s="13">
        <f>IF(OR(H327="",I327=""),"",I327-H327)</f>
        <v/>
      </c>
      <c r="M327" s="13">
        <f>IF(B327="","",IF(J327="Parado - cliente",IFERROR(INDEX(Equipamentos!$D$5:$D$10,MATCH(B327,Equipamentos!$A$5:$A$10,0)),0),IF(OR(J327="Parado - manutenção",J327="Sem serviço"),0,MAX(N(K327),IFERROR(INDEX(Equipamentos!$D$5:$D$10,MATCH(B327,Equipamentos!$A$5:$A$10,0)),0)))))</f>
        <v/>
      </c>
      <c r="N327" s="14">
        <f>IF(B327="","",IFERROR(INDEX(Equipamentos!$C$5:$C$10,MATCH(B327,Equipamentos!$A$5:$A$10,0)),0))</f>
        <v/>
      </c>
      <c r="O327" s="14">
        <f>IF(B327="","",M327*N327)</f>
        <v/>
      </c>
      <c r="P327" s="9" t="n"/>
    </row>
    <row r="328">
      <c r="A328" s="15" t="n"/>
      <c r="B328" s="9" t="n"/>
      <c r="C328" s="9" t="n"/>
      <c r="D328" s="9" t="n"/>
      <c r="E328" s="16" t="n"/>
      <c r="F328" s="16" t="n"/>
      <c r="G328" s="16" t="n"/>
      <c r="H328" s="17" t="n"/>
      <c r="I328" s="17" t="n"/>
      <c r="J328" s="9" t="n"/>
      <c r="K328" s="13">
        <f>IF(OR(E328="",F328=""),"",ROUND((MOD(F328-E328,1)-N(G328))*24,2))</f>
        <v/>
      </c>
      <c r="L328" s="13">
        <f>IF(OR(H328="",I328=""),"",I328-H328)</f>
        <v/>
      </c>
      <c r="M328" s="13">
        <f>IF(B328="","",IF(J328="Parado - cliente",IFERROR(INDEX(Equipamentos!$D$5:$D$10,MATCH(B328,Equipamentos!$A$5:$A$10,0)),0),IF(OR(J328="Parado - manutenção",J328="Sem serviço"),0,MAX(N(K328),IFERROR(INDEX(Equipamentos!$D$5:$D$10,MATCH(B328,Equipamentos!$A$5:$A$10,0)),0)))))</f>
        <v/>
      </c>
      <c r="N328" s="14">
        <f>IF(B328="","",IFERROR(INDEX(Equipamentos!$C$5:$C$10,MATCH(B328,Equipamentos!$A$5:$A$10,0)),0))</f>
        <v/>
      </c>
      <c r="O328" s="14">
        <f>IF(B328="","",M328*N328)</f>
        <v/>
      </c>
      <c r="P328" s="9" t="n"/>
    </row>
    <row r="329">
      <c r="A329" s="15" t="n"/>
      <c r="B329" s="9" t="n"/>
      <c r="C329" s="9" t="n"/>
      <c r="D329" s="9" t="n"/>
      <c r="E329" s="16" t="n"/>
      <c r="F329" s="16" t="n"/>
      <c r="G329" s="16" t="n"/>
      <c r="H329" s="17" t="n"/>
      <c r="I329" s="17" t="n"/>
      <c r="J329" s="9" t="n"/>
      <c r="K329" s="13">
        <f>IF(OR(E329="",F329=""),"",ROUND((MOD(F329-E329,1)-N(G329))*24,2))</f>
        <v/>
      </c>
      <c r="L329" s="13">
        <f>IF(OR(H329="",I329=""),"",I329-H329)</f>
        <v/>
      </c>
      <c r="M329" s="13">
        <f>IF(B329="","",IF(J329="Parado - cliente",IFERROR(INDEX(Equipamentos!$D$5:$D$10,MATCH(B329,Equipamentos!$A$5:$A$10,0)),0),IF(OR(J329="Parado - manutenção",J329="Sem serviço"),0,MAX(N(K329),IFERROR(INDEX(Equipamentos!$D$5:$D$10,MATCH(B329,Equipamentos!$A$5:$A$10,0)),0)))))</f>
        <v/>
      </c>
      <c r="N329" s="14">
        <f>IF(B329="","",IFERROR(INDEX(Equipamentos!$C$5:$C$10,MATCH(B329,Equipamentos!$A$5:$A$10,0)),0))</f>
        <v/>
      </c>
      <c r="O329" s="14">
        <f>IF(B329="","",M329*N329)</f>
        <v/>
      </c>
      <c r="P329" s="9" t="n"/>
    </row>
    <row r="330">
      <c r="A330" s="15" t="n"/>
      <c r="B330" s="9" t="n"/>
      <c r="C330" s="9" t="n"/>
      <c r="D330" s="9" t="n"/>
      <c r="E330" s="16" t="n"/>
      <c r="F330" s="16" t="n"/>
      <c r="G330" s="16" t="n"/>
      <c r="H330" s="17" t="n"/>
      <c r="I330" s="17" t="n"/>
      <c r="J330" s="9" t="n"/>
      <c r="K330" s="13">
        <f>IF(OR(E330="",F330=""),"",ROUND((MOD(F330-E330,1)-N(G330))*24,2))</f>
        <v/>
      </c>
      <c r="L330" s="13">
        <f>IF(OR(H330="",I330=""),"",I330-H330)</f>
        <v/>
      </c>
      <c r="M330" s="13">
        <f>IF(B330="","",IF(J330="Parado - cliente",IFERROR(INDEX(Equipamentos!$D$5:$D$10,MATCH(B330,Equipamentos!$A$5:$A$10,0)),0),IF(OR(J330="Parado - manutenção",J330="Sem serviço"),0,MAX(N(K330),IFERROR(INDEX(Equipamentos!$D$5:$D$10,MATCH(B330,Equipamentos!$A$5:$A$10,0)),0)))))</f>
        <v/>
      </c>
      <c r="N330" s="14">
        <f>IF(B330="","",IFERROR(INDEX(Equipamentos!$C$5:$C$10,MATCH(B330,Equipamentos!$A$5:$A$10,0)),0))</f>
        <v/>
      </c>
      <c r="O330" s="14">
        <f>IF(B330="","",M330*N330)</f>
        <v/>
      </c>
      <c r="P330" s="9" t="n"/>
    </row>
    <row r="331">
      <c r="A331" s="15" t="n"/>
      <c r="B331" s="9" t="n"/>
      <c r="C331" s="9" t="n"/>
      <c r="D331" s="9" t="n"/>
      <c r="E331" s="16" t="n"/>
      <c r="F331" s="16" t="n"/>
      <c r="G331" s="16" t="n"/>
      <c r="H331" s="17" t="n"/>
      <c r="I331" s="17" t="n"/>
      <c r="J331" s="9" t="n"/>
      <c r="K331" s="13">
        <f>IF(OR(E331="",F331=""),"",ROUND((MOD(F331-E331,1)-N(G331))*24,2))</f>
        <v/>
      </c>
      <c r="L331" s="13">
        <f>IF(OR(H331="",I331=""),"",I331-H331)</f>
        <v/>
      </c>
      <c r="M331" s="13">
        <f>IF(B331="","",IF(J331="Parado - cliente",IFERROR(INDEX(Equipamentos!$D$5:$D$10,MATCH(B331,Equipamentos!$A$5:$A$10,0)),0),IF(OR(J331="Parado - manutenção",J331="Sem serviço"),0,MAX(N(K331),IFERROR(INDEX(Equipamentos!$D$5:$D$10,MATCH(B331,Equipamentos!$A$5:$A$10,0)),0)))))</f>
        <v/>
      </c>
      <c r="N331" s="14">
        <f>IF(B331="","",IFERROR(INDEX(Equipamentos!$C$5:$C$10,MATCH(B331,Equipamentos!$A$5:$A$10,0)),0))</f>
        <v/>
      </c>
      <c r="O331" s="14">
        <f>IF(B331="","",M331*N331)</f>
        <v/>
      </c>
      <c r="P331" s="9" t="n"/>
    </row>
    <row r="332">
      <c r="A332" s="15" t="n"/>
      <c r="B332" s="9" t="n"/>
      <c r="C332" s="9" t="n"/>
      <c r="D332" s="9" t="n"/>
      <c r="E332" s="16" t="n"/>
      <c r="F332" s="16" t="n"/>
      <c r="G332" s="16" t="n"/>
      <c r="H332" s="17" t="n"/>
      <c r="I332" s="17" t="n"/>
      <c r="J332" s="9" t="n"/>
      <c r="K332" s="13">
        <f>IF(OR(E332="",F332=""),"",ROUND((MOD(F332-E332,1)-N(G332))*24,2))</f>
        <v/>
      </c>
      <c r="L332" s="13">
        <f>IF(OR(H332="",I332=""),"",I332-H332)</f>
        <v/>
      </c>
      <c r="M332" s="13">
        <f>IF(B332="","",IF(J332="Parado - cliente",IFERROR(INDEX(Equipamentos!$D$5:$D$10,MATCH(B332,Equipamentos!$A$5:$A$10,0)),0),IF(OR(J332="Parado - manutenção",J332="Sem serviço"),0,MAX(N(K332),IFERROR(INDEX(Equipamentos!$D$5:$D$10,MATCH(B332,Equipamentos!$A$5:$A$10,0)),0)))))</f>
        <v/>
      </c>
      <c r="N332" s="14">
        <f>IF(B332="","",IFERROR(INDEX(Equipamentos!$C$5:$C$10,MATCH(B332,Equipamentos!$A$5:$A$10,0)),0))</f>
        <v/>
      </c>
      <c r="O332" s="14">
        <f>IF(B332="","",M332*N332)</f>
        <v/>
      </c>
      <c r="P332" s="9" t="n"/>
    </row>
    <row r="333">
      <c r="A333" s="15" t="n"/>
      <c r="B333" s="9" t="n"/>
      <c r="C333" s="9" t="n"/>
      <c r="D333" s="9" t="n"/>
      <c r="E333" s="16" t="n"/>
      <c r="F333" s="16" t="n"/>
      <c r="G333" s="16" t="n"/>
      <c r="H333" s="17" t="n"/>
      <c r="I333" s="17" t="n"/>
      <c r="J333" s="9" t="n"/>
      <c r="K333" s="13">
        <f>IF(OR(E333="",F333=""),"",ROUND((MOD(F333-E333,1)-N(G333))*24,2))</f>
        <v/>
      </c>
      <c r="L333" s="13">
        <f>IF(OR(H333="",I333=""),"",I333-H333)</f>
        <v/>
      </c>
      <c r="M333" s="13">
        <f>IF(B333="","",IF(J333="Parado - cliente",IFERROR(INDEX(Equipamentos!$D$5:$D$10,MATCH(B333,Equipamentos!$A$5:$A$10,0)),0),IF(OR(J333="Parado - manutenção",J333="Sem serviço"),0,MAX(N(K333),IFERROR(INDEX(Equipamentos!$D$5:$D$10,MATCH(B333,Equipamentos!$A$5:$A$10,0)),0)))))</f>
        <v/>
      </c>
      <c r="N333" s="14">
        <f>IF(B333="","",IFERROR(INDEX(Equipamentos!$C$5:$C$10,MATCH(B333,Equipamentos!$A$5:$A$10,0)),0))</f>
        <v/>
      </c>
      <c r="O333" s="14">
        <f>IF(B333="","",M333*N333)</f>
        <v/>
      </c>
      <c r="P333" s="9" t="n"/>
    </row>
    <row r="334">
      <c r="A334" s="15" t="n"/>
      <c r="B334" s="9" t="n"/>
      <c r="C334" s="9" t="n"/>
      <c r="D334" s="9" t="n"/>
      <c r="E334" s="16" t="n"/>
      <c r="F334" s="16" t="n"/>
      <c r="G334" s="16" t="n"/>
      <c r="H334" s="17" t="n"/>
      <c r="I334" s="17" t="n"/>
      <c r="J334" s="9" t="n"/>
      <c r="K334" s="13">
        <f>IF(OR(E334="",F334=""),"",ROUND((MOD(F334-E334,1)-N(G334))*24,2))</f>
        <v/>
      </c>
      <c r="L334" s="13">
        <f>IF(OR(H334="",I334=""),"",I334-H334)</f>
        <v/>
      </c>
      <c r="M334" s="13">
        <f>IF(B334="","",IF(J334="Parado - cliente",IFERROR(INDEX(Equipamentos!$D$5:$D$10,MATCH(B334,Equipamentos!$A$5:$A$10,0)),0),IF(OR(J334="Parado - manutenção",J334="Sem serviço"),0,MAX(N(K334),IFERROR(INDEX(Equipamentos!$D$5:$D$10,MATCH(B334,Equipamentos!$A$5:$A$10,0)),0)))))</f>
        <v/>
      </c>
      <c r="N334" s="14">
        <f>IF(B334="","",IFERROR(INDEX(Equipamentos!$C$5:$C$10,MATCH(B334,Equipamentos!$A$5:$A$10,0)),0))</f>
        <v/>
      </c>
      <c r="O334" s="14">
        <f>IF(B334="","",M334*N334)</f>
        <v/>
      </c>
      <c r="P334" s="9" t="n"/>
    </row>
    <row r="335">
      <c r="A335" s="15" t="n"/>
      <c r="B335" s="9" t="n"/>
      <c r="C335" s="9" t="n"/>
      <c r="D335" s="9" t="n"/>
      <c r="E335" s="16" t="n"/>
      <c r="F335" s="16" t="n"/>
      <c r="G335" s="16" t="n"/>
      <c r="H335" s="17" t="n"/>
      <c r="I335" s="17" t="n"/>
      <c r="J335" s="9" t="n"/>
      <c r="K335" s="13">
        <f>IF(OR(E335="",F335=""),"",ROUND((MOD(F335-E335,1)-N(G335))*24,2))</f>
        <v/>
      </c>
      <c r="L335" s="13">
        <f>IF(OR(H335="",I335=""),"",I335-H335)</f>
        <v/>
      </c>
      <c r="M335" s="13">
        <f>IF(B335="","",IF(J335="Parado - cliente",IFERROR(INDEX(Equipamentos!$D$5:$D$10,MATCH(B335,Equipamentos!$A$5:$A$10,0)),0),IF(OR(J335="Parado - manutenção",J335="Sem serviço"),0,MAX(N(K335),IFERROR(INDEX(Equipamentos!$D$5:$D$10,MATCH(B335,Equipamentos!$A$5:$A$10,0)),0)))))</f>
        <v/>
      </c>
      <c r="N335" s="14">
        <f>IF(B335="","",IFERROR(INDEX(Equipamentos!$C$5:$C$10,MATCH(B335,Equipamentos!$A$5:$A$10,0)),0))</f>
        <v/>
      </c>
      <c r="O335" s="14">
        <f>IF(B335="","",M335*N335)</f>
        <v/>
      </c>
      <c r="P335" s="9" t="n"/>
    </row>
    <row r="336">
      <c r="A336" s="15" t="n"/>
      <c r="B336" s="9" t="n"/>
      <c r="C336" s="9" t="n"/>
      <c r="D336" s="9" t="n"/>
      <c r="E336" s="16" t="n"/>
      <c r="F336" s="16" t="n"/>
      <c r="G336" s="16" t="n"/>
      <c r="H336" s="17" t="n"/>
      <c r="I336" s="17" t="n"/>
      <c r="J336" s="9" t="n"/>
      <c r="K336" s="13">
        <f>IF(OR(E336="",F336=""),"",ROUND((MOD(F336-E336,1)-N(G336))*24,2))</f>
        <v/>
      </c>
      <c r="L336" s="13">
        <f>IF(OR(H336="",I336=""),"",I336-H336)</f>
        <v/>
      </c>
      <c r="M336" s="13">
        <f>IF(B336="","",IF(J336="Parado - cliente",IFERROR(INDEX(Equipamentos!$D$5:$D$10,MATCH(B336,Equipamentos!$A$5:$A$10,0)),0),IF(OR(J336="Parado - manutenção",J336="Sem serviço"),0,MAX(N(K336),IFERROR(INDEX(Equipamentos!$D$5:$D$10,MATCH(B336,Equipamentos!$A$5:$A$10,0)),0)))))</f>
        <v/>
      </c>
      <c r="N336" s="14">
        <f>IF(B336="","",IFERROR(INDEX(Equipamentos!$C$5:$C$10,MATCH(B336,Equipamentos!$A$5:$A$10,0)),0))</f>
        <v/>
      </c>
      <c r="O336" s="14">
        <f>IF(B336="","",M336*N336)</f>
        <v/>
      </c>
      <c r="P336" s="9" t="n"/>
    </row>
    <row r="337">
      <c r="A337" s="15" t="n"/>
      <c r="B337" s="9" t="n"/>
      <c r="C337" s="9" t="n"/>
      <c r="D337" s="9" t="n"/>
      <c r="E337" s="16" t="n"/>
      <c r="F337" s="16" t="n"/>
      <c r="G337" s="16" t="n"/>
      <c r="H337" s="17" t="n"/>
      <c r="I337" s="17" t="n"/>
      <c r="J337" s="9" t="n"/>
      <c r="K337" s="13">
        <f>IF(OR(E337="",F337=""),"",ROUND((MOD(F337-E337,1)-N(G337))*24,2))</f>
        <v/>
      </c>
      <c r="L337" s="13">
        <f>IF(OR(H337="",I337=""),"",I337-H337)</f>
        <v/>
      </c>
      <c r="M337" s="13">
        <f>IF(B337="","",IF(J337="Parado - cliente",IFERROR(INDEX(Equipamentos!$D$5:$D$10,MATCH(B337,Equipamentos!$A$5:$A$10,0)),0),IF(OR(J337="Parado - manutenção",J337="Sem serviço"),0,MAX(N(K337),IFERROR(INDEX(Equipamentos!$D$5:$D$10,MATCH(B337,Equipamentos!$A$5:$A$10,0)),0)))))</f>
        <v/>
      </c>
      <c r="N337" s="14">
        <f>IF(B337="","",IFERROR(INDEX(Equipamentos!$C$5:$C$10,MATCH(B337,Equipamentos!$A$5:$A$10,0)),0))</f>
        <v/>
      </c>
      <c r="O337" s="14">
        <f>IF(B337="","",M337*N337)</f>
        <v/>
      </c>
      <c r="P337" s="9" t="n"/>
    </row>
    <row r="338">
      <c r="A338" s="15" t="n"/>
      <c r="B338" s="9" t="n"/>
      <c r="C338" s="9" t="n"/>
      <c r="D338" s="9" t="n"/>
      <c r="E338" s="16" t="n"/>
      <c r="F338" s="16" t="n"/>
      <c r="G338" s="16" t="n"/>
      <c r="H338" s="17" t="n"/>
      <c r="I338" s="17" t="n"/>
      <c r="J338" s="9" t="n"/>
      <c r="K338" s="13">
        <f>IF(OR(E338="",F338=""),"",ROUND((MOD(F338-E338,1)-N(G338))*24,2))</f>
        <v/>
      </c>
      <c r="L338" s="13">
        <f>IF(OR(H338="",I338=""),"",I338-H338)</f>
        <v/>
      </c>
      <c r="M338" s="13">
        <f>IF(B338="","",IF(J338="Parado - cliente",IFERROR(INDEX(Equipamentos!$D$5:$D$10,MATCH(B338,Equipamentos!$A$5:$A$10,0)),0),IF(OR(J338="Parado - manutenção",J338="Sem serviço"),0,MAX(N(K338),IFERROR(INDEX(Equipamentos!$D$5:$D$10,MATCH(B338,Equipamentos!$A$5:$A$10,0)),0)))))</f>
        <v/>
      </c>
      <c r="N338" s="14">
        <f>IF(B338="","",IFERROR(INDEX(Equipamentos!$C$5:$C$10,MATCH(B338,Equipamentos!$A$5:$A$10,0)),0))</f>
        <v/>
      </c>
      <c r="O338" s="14">
        <f>IF(B338="","",M338*N338)</f>
        <v/>
      </c>
      <c r="P338" s="9" t="n"/>
    </row>
    <row r="339">
      <c r="A339" s="15" t="n"/>
      <c r="B339" s="9" t="n"/>
      <c r="C339" s="9" t="n"/>
      <c r="D339" s="9" t="n"/>
      <c r="E339" s="16" t="n"/>
      <c r="F339" s="16" t="n"/>
      <c r="G339" s="16" t="n"/>
      <c r="H339" s="17" t="n"/>
      <c r="I339" s="17" t="n"/>
      <c r="J339" s="9" t="n"/>
      <c r="K339" s="13">
        <f>IF(OR(E339="",F339=""),"",ROUND((MOD(F339-E339,1)-N(G339))*24,2))</f>
        <v/>
      </c>
      <c r="L339" s="13">
        <f>IF(OR(H339="",I339=""),"",I339-H339)</f>
        <v/>
      </c>
      <c r="M339" s="13">
        <f>IF(B339="","",IF(J339="Parado - cliente",IFERROR(INDEX(Equipamentos!$D$5:$D$10,MATCH(B339,Equipamentos!$A$5:$A$10,0)),0),IF(OR(J339="Parado - manutenção",J339="Sem serviço"),0,MAX(N(K339),IFERROR(INDEX(Equipamentos!$D$5:$D$10,MATCH(B339,Equipamentos!$A$5:$A$10,0)),0)))))</f>
        <v/>
      </c>
      <c r="N339" s="14">
        <f>IF(B339="","",IFERROR(INDEX(Equipamentos!$C$5:$C$10,MATCH(B339,Equipamentos!$A$5:$A$10,0)),0))</f>
        <v/>
      </c>
      <c r="O339" s="14">
        <f>IF(B339="","",M339*N339)</f>
        <v/>
      </c>
      <c r="P339" s="9" t="n"/>
    </row>
    <row r="340">
      <c r="A340" s="15" t="n"/>
      <c r="B340" s="9" t="n"/>
      <c r="C340" s="9" t="n"/>
      <c r="D340" s="9" t="n"/>
      <c r="E340" s="16" t="n"/>
      <c r="F340" s="16" t="n"/>
      <c r="G340" s="16" t="n"/>
      <c r="H340" s="17" t="n"/>
      <c r="I340" s="17" t="n"/>
      <c r="J340" s="9" t="n"/>
      <c r="K340" s="13">
        <f>IF(OR(E340="",F340=""),"",ROUND((MOD(F340-E340,1)-N(G340))*24,2))</f>
        <v/>
      </c>
      <c r="L340" s="13">
        <f>IF(OR(H340="",I340=""),"",I340-H340)</f>
        <v/>
      </c>
      <c r="M340" s="13">
        <f>IF(B340="","",IF(J340="Parado - cliente",IFERROR(INDEX(Equipamentos!$D$5:$D$10,MATCH(B340,Equipamentos!$A$5:$A$10,0)),0),IF(OR(J340="Parado - manutenção",J340="Sem serviço"),0,MAX(N(K340),IFERROR(INDEX(Equipamentos!$D$5:$D$10,MATCH(B340,Equipamentos!$A$5:$A$10,0)),0)))))</f>
        <v/>
      </c>
      <c r="N340" s="14">
        <f>IF(B340="","",IFERROR(INDEX(Equipamentos!$C$5:$C$10,MATCH(B340,Equipamentos!$A$5:$A$10,0)),0))</f>
        <v/>
      </c>
      <c r="O340" s="14">
        <f>IF(B340="","",M340*N340)</f>
        <v/>
      </c>
      <c r="P340" s="9" t="n"/>
    </row>
    <row r="341">
      <c r="A341" s="15" t="n"/>
      <c r="B341" s="9" t="n"/>
      <c r="C341" s="9" t="n"/>
      <c r="D341" s="9" t="n"/>
      <c r="E341" s="16" t="n"/>
      <c r="F341" s="16" t="n"/>
      <c r="G341" s="16" t="n"/>
      <c r="H341" s="17" t="n"/>
      <c r="I341" s="17" t="n"/>
      <c r="J341" s="9" t="n"/>
      <c r="K341" s="13">
        <f>IF(OR(E341="",F341=""),"",ROUND((MOD(F341-E341,1)-N(G341))*24,2))</f>
        <v/>
      </c>
      <c r="L341" s="13">
        <f>IF(OR(H341="",I341=""),"",I341-H341)</f>
        <v/>
      </c>
      <c r="M341" s="13">
        <f>IF(B341="","",IF(J341="Parado - cliente",IFERROR(INDEX(Equipamentos!$D$5:$D$10,MATCH(B341,Equipamentos!$A$5:$A$10,0)),0),IF(OR(J341="Parado - manutenção",J341="Sem serviço"),0,MAX(N(K341),IFERROR(INDEX(Equipamentos!$D$5:$D$10,MATCH(B341,Equipamentos!$A$5:$A$10,0)),0)))))</f>
        <v/>
      </c>
      <c r="N341" s="14">
        <f>IF(B341="","",IFERROR(INDEX(Equipamentos!$C$5:$C$10,MATCH(B341,Equipamentos!$A$5:$A$10,0)),0))</f>
        <v/>
      </c>
      <c r="O341" s="14">
        <f>IF(B341="","",M341*N341)</f>
        <v/>
      </c>
      <c r="P341" s="9" t="n"/>
    </row>
    <row r="342">
      <c r="A342" s="15" t="n"/>
      <c r="B342" s="9" t="n"/>
      <c r="C342" s="9" t="n"/>
      <c r="D342" s="9" t="n"/>
      <c r="E342" s="16" t="n"/>
      <c r="F342" s="16" t="n"/>
      <c r="G342" s="16" t="n"/>
      <c r="H342" s="17" t="n"/>
      <c r="I342" s="17" t="n"/>
      <c r="J342" s="9" t="n"/>
      <c r="K342" s="13">
        <f>IF(OR(E342="",F342=""),"",ROUND((MOD(F342-E342,1)-N(G342))*24,2))</f>
        <v/>
      </c>
      <c r="L342" s="13">
        <f>IF(OR(H342="",I342=""),"",I342-H342)</f>
        <v/>
      </c>
      <c r="M342" s="13">
        <f>IF(B342="","",IF(J342="Parado - cliente",IFERROR(INDEX(Equipamentos!$D$5:$D$10,MATCH(B342,Equipamentos!$A$5:$A$10,0)),0),IF(OR(J342="Parado - manutenção",J342="Sem serviço"),0,MAX(N(K342),IFERROR(INDEX(Equipamentos!$D$5:$D$10,MATCH(B342,Equipamentos!$A$5:$A$10,0)),0)))))</f>
        <v/>
      </c>
      <c r="N342" s="14">
        <f>IF(B342="","",IFERROR(INDEX(Equipamentos!$C$5:$C$10,MATCH(B342,Equipamentos!$A$5:$A$10,0)),0))</f>
        <v/>
      </c>
      <c r="O342" s="14">
        <f>IF(B342="","",M342*N342)</f>
        <v/>
      </c>
      <c r="P342" s="9" t="n"/>
    </row>
    <row r="343">
      <c r="A343" s="15" t="n"/>
      <c r="B343" s="9" t="n"/>
      <c r="C343" s="9" t="n"/>
      <c r="D343" s="9" t="n"/>
      <c r="E343" s="16" t="n"/>
      <c r="F343" s="16" t="n"/>
      <c r="G343" s="16" t="n"/>
      <c r="H343" s="17" t="n"/>
      <c r="I343" s="17" t="n"/>
      <c r="J343" s="9" t="n"/>
      <c r="K343" s="13">
        <f>IF(OR(E343="",F343=""),"",ROUND((MOD(F343-E343,1)-N(G343))*24,2))</f>
        <v/>
      </c>
      <c r="L343" s="13">
        <f>IF(OR(H343="",I343=""),"",I343-H343)</f>
        <v/>
      </c>
      <c r="M343" s="13">
        <f>IF(B343="","",IF(J343="Parado - cliente",IFERROR(INDEX(Equipamentos!$D$5:$D$10,MATCH(B343,Equipamentos!$A$5:$A$10,0)),0),IF(OR(J343="Parado - manutenção",J343="Sem serviço"),0,MAX(N(K343),IFERROR(INDEX(Equipamentos!$D$5:$D$10,MATCH(B343,Equipamentos!$A$5:$A$10,0)),0)))))</f>
        <v/>
      </c>
      <c r="N343" s="14">
        <f>IF(B343="","",IFERROR(INDEX(Equipamentos!$C$5:$C$10,MATCH(B343,Equipamentos!$A$5:$A$10,0)),0))</f>
        <v/>
      </c>
      <c r="O343" s="14">
        <f>IF(B343="","",M343*N343)</f>
        <v/>
      </c>
      <c r="P343" s="9" t="n"/>
    </row>
    <row r="344">
      <c r="A344" s="15" t="n"/>
      <c r="B344" s="9" t="n"/>
      <c r="C344" s="9" t="n"/>
      <c r="D344" s="9" t="n"/>
      <c r="E344" s="16" t="n"/>
      <c r="F344" s="16" t="n"/>
      <c r="G344" s="16" t="n"/>
      <c r="H344" s="17" t="n"/>
      <c r="I344" s="17" t="n"/>
      <c r="J344" s="9" t="n"/>
      <c r="K344" s="13">
        <f>IF(OR(E344="",F344=""),"",ROUND((MOD(F344-E344,1)-N(G344))*24,2))</f>
        <v/>
      </c>
      <c r="L344" s="13">
        <f>IF(OR(H344="",I344=""),"",I344-H344)</f>
        <v/>
      </c>
      <c r="M344" s="13">
        <f>IF(B344="","",IF(J344="Parado - cliente",IFERROR(INDEX(Equipamentos!$D$5:$D$10,MATCH(B344,Equipamentos!$A$5:$A$10,0)),0),IF(OR(J344="Parado - manutenção",J344="Sem serviço"),0,MAX(N(K344),IFERROR(INDEX(Equipamentos!$D$5:$D$10,MATCH(B344,Equipamentos!$A$5:$A$10,0)),0)))))</f>
        <v/>
      </c>
      <c r="N344" s="14">
        <f>IF(B344="","",IFERROR(INDEX(Equipamentos!$C$5:$C$10,MATCH(B344,Equipamentos!$A$5:$A$10,0)),0))</f>
        <v/>
      </c>
      <c r="O344" s="14">
        <f>IF(B344="","",M344*N344)</f>
        <v/>
      </c>
      <c r="P344" s="9" t="n"/>
    </row>
    <row r="345">
      <c r="A345" s="15" t="n"/>
      <c r="B345" s="9" t="n"/>
      <c r="C345" s="9" t="n"/>
      <c r="D345" s="9" t="n"/>
      <c r="E345" s="16" t="n"/>
      <c r="F345" s="16" t="n"/>
      <c r="G345" s="16" t="n"/>
      <c r="H345" s="17" t="n"/>
      <c r="I345" s="17" t="n"/>
      <c r="J345" s="9" t="n"/>
      <c r="K345" s="13">
        <f>IF(OR(E345="",F345=""),"",ROUND((MOD(F345-E345,1)-N(G345))*24,2))</f>
        <v/>
      </c>
      <c r="L345" s="13">
        <f>IF(OR(H345="",I345=""),"",I345-H345)</f>
        <v/>
      </c>
      <c r="M345" s="13">
        <f>IF(B345="","",IF(J345="Parado - cliente",IFERROR(INDEX(Equipamentos!$D$5:$D$10,MATCH(B345,Equipamentos!$A$5:$A$10,0)),0),IF(OR(J345="Parado - manutenção",J345="Sem serviço"),0,MAX(N(K345),IFERROR(INDEX(Equipamentos!$D$5:$D$10,MATCH(B345,Equipamentos!$A$5:$A$10,0)),0)))))</f>
        <v/>
      </c>
      <c r="N345" s="14">
        <f>IF(B345="","",IFERROR(INDEX(Equipamentos!$C$5:$C$10,MATCH(B345,Equipamentos!$A$5:$A$10,0)),0))</f>
        <v/>
      </c>
      <c r="O345" s="14">
        <f>IF(B345="","",M345*N345)</f>
        <v/>
      </c>
      <c r="P345" s="9" t="n"/>
    </row>
    <row r="346">
      <c r="A346" s="15" t="n"/>
      <c r="B346" s="9" t="n"/>
      <c r="C346" s="9" t="n"/>
      <c r="D346" s="9" t="n"/>
      <c r="E346" s="16" t="n"/>
      <c r="F346" s="16" t="n"/>
      <c r="G346" s="16" t="n"/>
      <c r="H346" s="17" t="n"/>
      <c r="I346" s="17" t="n"/>
      <c r="J346" s="9" t="n"/>
      <c r="K346" s="13">
        <f>IF(OR(E346="",F346=""),"",ROUND((MOD(F346-E346,1)-N(G346))*24,2))</f>
        <v/>
      </c>
      <c r="L346" s="13">
        <f>IF(OR(H346="",I346=""),"",I346-H346)</f>
        <v/>
      </c>
      <c r="M346" s="13">
        <f>IF(B346="","",IF(J346="Parado - cliente",IFERROR(INDEX(Equipamentos!$D$5:$D$10,MATCH(B346,Equipamentos!$A$5:$A$10,0)),0),IF(OR(J346="Parado - manutenção",J346="Sem serviço"),0,MAX(N(K346),IFERROR(INDEX(Equipamentos!$D$5:$D$10,MATCH(B346,Equipamentos!$A$5:$A$10,0)),0)))))</f>
        <v/>
      </c>
      <c r="N346" s="14">
        <f>IF(B346="","",IFERROR(INDEX(Equipamentos!$C$5:$C$10,MATCH(B346,Equipamentos!$A$5:$A$10,0)),0))</f>
        <v/>
      </c>
      <c r="O346" s="14">
        <f>IF(B346="","",M346*N346)</f>
        <v/>
      </c>
      <c r="P346" s="9" t="n"/>
    </row>
    <row r="347">
      <c r="A347" s="15" t="n"/>
      <c r="B347" s="9" t="n"/>
      <c r="C347" s="9" t="n"/>
      <c r="D347" s="9" t="n"/>
      <c r="E347" s="16" t="n"/>
      <c r="F347" s="16" t="n"/>
      <c r="G347" s="16" t="n"/>
      <c r="H347" s="17" t="n"/>
      <c r="I347" s="17" t="n"/>
      <c r="J347" s="9" t="n"/>
      <c r="K347" s="13">
        <f>IF(OR(E347="",F347=""),"",ROUND((MOD(F347-E347,1)-N(G347))*24,2))</f>
        <v/>
      </c>
      <c r="L347" s="13">
        <f>IF(OR(H347="",I347=""),"",I347-H347)</f>
        <v/>
      </c>
      <c r="M347" s="13">
        <f>IF(B347="","",IF(J347="Parado - cliente",IFERROR(INDEX(Equipamentos!$D$5:$D$10,MATCH(B347,Equipamentos!$A$5:$A$10,0)),0),IF(OR(J347="Parado - manutenção",J347="Sem serviço"),0,MAX(N(K347),IFERROR(INDEX(Equipamentos!$D$5:$D$10,MATCH(B347,Equipamentos!$A$5:$A$10,0)),0)))))</f>
        <v/>
      </c>
      <c r="N347" s="14">
        <f>IF(B347="","",IFERROR(INDEX(Equipamentos!$C$5:$C$10,MATCH(B347,Equipamentos!$A$5:$A$10,0)),0))</f>
        <v/>
      </c>
      <c r="O347" s="14">
        <f>IF(B347="","",M347*N347)</f>
        <v/>
      </c>
      <c r="P347" s="9" t="n"/>
    </row>
    <row r="348">
      <c r="A348" s="15" t="n"/>
      <c r="B348" s="9" t="n"/>
      <c r="C348" s="9" t="n"/>
      <c r="D348" s="9" t="n"/>
      <c r="E348" s="16" t="n"/>
      <c r="F348" s="16" t="n"/>
      <c r="G348" s="16" t="n"/>
      <c r="H348" s="17" t="n"/>
      <c r="I348" s="17" t="n"/>
      <c r="J348" s="9" t="n"/>
      <c r="K348" s="13">
        <f>IF(OR(E348="",F348=""),"",ROUND((MOD(F348-E348,1)-N(G348))*24,2))</f>
        <v/>
      </c>
      <c r="L348" s="13">
        <f>IF(OR(H348="",I348=""),"",I348-H348)</f>
        <v/>
      </c>
      <c r="M348" s="13">
        <f>IF(B348="","",IF(J348="Parado - cliente",IFERROR(INDEX(Equipamentos!$D$5:$D$10,MATCH(B348,Equipamentos!$A$5:$A$10,0)),0),IF(OR(J348="Parado - manutenção",J348="Sem serviço"),0,MAX(N(K348),IFERROR(INDEX(Equipamentos!$D$5:$D$10,MATCH(B348,Equipamentos!$A$5:$A$10,0)),0)))))</f>
        <v/>
      </c>
      <c r="N348" s="14">
        <f>IF(B348="","",IFERROR(INDEX(Equipamentos!$C$5:$C$10,MATCH(B348,Equipamentos!$A$5:$A$10,0)),0))</f>
        <v/>
      </c>
      <c r="O348" s="14">
        <f>IF(B348="","",M348*N348)</f>
        <v/>
      </c>
      <c r="P348" s="9" t="n"/>
    </row>
    <row r="349">
      <c r="A349" s="15" t="n"/>
      <c r="B349" s="9" t="n"/>
      <c r="C349" s="9" t="n"/>
      <c r="D349" s="9" t="n"/>
      <c r="E349" s="16" t="n"/>
      <c r="F349" s="16" t="n"/>
      <c r="G349" s="16" t="n"/>
      <c r="H349" s="17" t="n"/>
      <c r="I349" s="17" t="n"/>
      <c r="J349" s="9" t="n"/>
      <c r="K349" s="13">
        <f>IF(OR(E349="",F349=""),"",ROUND((MOD(F349-E349,1)-N(G349))*24,2))</f>
        <v/>
      </c>
      <c r="L349" s="13">
        <f>IF(OR(H349="",I349=""),"",I349-H349)</f>
        <v/>
      </c>
      <c r="M349" s="13">
        <f>IF(B349="","",IF(J349="Parado - cliente",IFERROR(INDEX(Equipamentos!$D$5:$D$10,MATCH(B349,Equipamentos!$A$5:$A$10,0)),0),IF(OR(J349="Parado - manutenção",J349="Sem serviço"),0,MAX(N(K349),IFERROR(INDEX(Equipamentos!$D$5:$D$10,MATCH(B349,Equipamentos!$A$5:$A$10,0)),0)))))</f>
        <v/>
      </c>
      <c r="N349" s="14">
        <f>IF(B349="","",IFERROR(INDEX(Equipamentos!$C$5:$C$10,MATCH(B349,Equipamentos!$A$5:$A$10,0)),0))</f>
        <v/>
      </c>
      <c r="O349" s="14">
        <f>IF(B349="","",M349*N349)</f>
        <v/>
      </c>
      <c r="P349" s="9" t="n"/>
    </row>
    <row r="350">
      <c r="A350" s="15" t="n"/>
      <c r="B350" s="9" t="n"/>
      <c r="C350" s="9" t="n"/>
      <c r="D350" s="9" t="n"/>
      <c r="E350" s="16" t="n"/>
      <c r="F350" s="16" t="n"/>
      <c r="G350" s="16" t="n"/>
      <c r="H350" s="17" t="n"/>
      <c r="I350" s="17" t="n"/>
      <c r="J350" s="9" t="n"/>
      <c r="K350" s="13">
        <f>IF(OR(E350="",F350=""),"",ROUND((MOD(F350-E350,1)-N(G350))*24,2))</f>
        <v/>
      </c>
      <c r="L350" s="13">
        <f>IF(OR(H350="",I350=""),"",I350-H350)</f>
        <v/>
      </c>
      <c r="M350" s="13">
        <f>IF(B350="","",IF(J350="Parado - cliente",IFERROR(INDEX(Equipamentos!$D$5:$D$10,MATCH(B350,Equipamentos!$A$5:$A$10,0)),0),IF(OR(J350="Parado - manutenção",J350="Sem serviço"),0,MAX(N(K350),IFERROR(INDEX(Equipamentos!$D$5:$D$10,MATCH(B350,Equipamentos!$A$5:$A$10,0)),0)))))</f>
        <v/>
      </c>
      <c r="N350" s="14">
        <f>IF(B350="","",IFERROR(INDEX(Equipamentos!$C$5:$C$10,MATCH(B350,Equipamentos!$A$5:$A$10,0)),0))</f>
        <v/>
      </c>
      <c r="O350" s="14">
        <f>IF(B350="","",M350*N350)</f>
        <v/>
      </c>
      <c r="P350" s="9" t="n"/>
    </row>
    <row r="351">
      <c r="A351" s="15" t="n"/>
      <c r="B351" s="9" t="n"/>
      <c r="C351" s="9" t="n"/>
      <c r="D351" s="9" t="n"/>
      <c r="E351" s="16" t="n"/>
      <c r="F351" s="16" t="n"/>
      <c r="G351" s="16" t="n"/>
      <c r="H351" s="17" t="n"/>
      <c r="I351" s="17" t="n"/>
      <c r="J351" s="9" t="n"/>
      <c r="K351" s="13">
        <f>IF(OR(E351="",F351=""),"",ROUND((MOD(F351-E351,1)-N(G351))*24,2))</f>
        <v/>
      </c>
      <c r="L351" s="13">
        <f>IF(OR(H351="",I351=""),"",I351-H351)</f>
        <v/>
      </c>
      <c r="M351" s="13">
        <f>IF(B351="","",IF(J351="Parado - cliente",IFERROR(INDEX(Equipamentos!$D$5:$D$10,MATCH(B351,Equipamentos!$A$5:$A$10,0)),0),IF(OR(J351="Parado - manutenção",J351="Sem serviço"),0,MAX(N(K351),IFERROR(INDEX(Equipamentos!$D$5:$D$10,MATCH(B351,Equipamentos!$A$5:$A$10,0)),0)))))</f>
        <v/>
      </c>
      <c r="N351" s="14">
        <f>IF(B351="","",IFERROR(INDEX(Equipamentos!$C$5:$C$10,MATCH(B351,Equipamentos!$A$5:$A$10,0)),0))</f>
        <v/>
      </c>
      <c r="O351" s="14">
        <f>IF(B351="","",M351*N351)</f>
        <v/>
      </c>
      <c r="P351" s="9" t="n"/>
    </row>
    <row r="352">
      <c r="A352" s="15" t="n"/>
      <c r="B352" s="9" t="n"/>
      <c r="C352" s="9" t="n"/>
      <c r="D352" s="9" t="n"/>
      <c r="E352" s="16" t="n"/>
      <c r="F352" s="16" t="n"/>
      <c r="G352" s="16" t="n"/>
      <c r="H352" s="17" t="n"/>
      <c r="I352" s="17" t="n"/>
      <c r="J352" s="9" t="n"/>
      <c r="K352" s="13">
        <f>IF(OR(E352="",F352=""),"",ROUND((MOD(F352-E352,1)-N(G352))*24,2))</f>
        <v/>
      </c>
      <c r="L352" s="13">
        <f>IF(OR(H352="",I352=""),"",I352-H352)</f>
        <v/>
      </c>
      <c r="M352" s="13">
        <f>IF(B352="","",IF(J352="Parado - cliente",IFERROR(INDEX(Equipamentos!$D$5:$D$10,MATCH(B352,Equipamentos!$A$5:$A$10,0)),0),IF(OR(J352="Parado - manutenção",J352="Sem serviço"),0,MAX(N(K352),IFERROR(INDEX(Equipamentos!$D$5:$D$10,MATCH(B352,Equipamentos!$A$5:$A$10,0)),0)))))</f>
        <v/>
      </c>
      <c r="N352" s="14">
        <f>IF(B352="","",IFERROR(INDEX(Equipamentos!$C$5:$C$10,MATCH(B352,Equipamentos!$A$5:$A$10,0)),0))</f>
        <v/>
      </c>
      <c r="O352" s="14">
        <f>IF(B352="","",M352*N352)</f>
        <v/>
      </c>
      <c r="P352" s="9" t="n"/>
    </row>
    <row r="353">
      <c r="A353" s="15" t="n"/>
      <c r="B353" s="9" t="n"/>
      <c r="C353" s="9" t="n"/>
      <c r="D353" s="9" t="n"/>
      <c r="E353" s="16" t="n"/>
      <c r="F353" s="16" t="n"/>
      <c r="G353" s="16" t="n"/>
      <c r="H353" s="17" t="n"/>
      <c r="I353" s="17" t="n"/>
      <c r="J353" s="9" t="n"/>
      <c r="K353" s="13">
        <f>IF(OR(E353="",F353=""),"",ROUND((MOD(F353-E353,1)-N(G353))*24,2))</f>
        <v/>
      </c>
      <c r="L353" s="13">
        <f>IF(OR(H353="",I353=""),"",I353-H353)</f>
        <v/>
      </c>
      <c r="M353" s="13">
        <f>IF(B353="","",IF(J353="Parado - cliente",IFERROR(INDEX(Equipamentos!$D$5:$D$10,MATCH(B353,Equipamentos!$A$5:$A$10,0)),0),IF(OR(J353="Parado - manutenção",J353="Sem serviço"),0,MAX(N(K353),IFERROR(INDEX(Equipamentos!$D$5:$D$10,MATCH(B353,Equipamentos!$A$5:$A$10,0)),0)))))</f>
        <v/>
      </c>
      <c r="N353" s="14">
        <f>IF(B353="","",IFERROR(INDEX(Equipamentos!$C$5:$C$10,MATCH(B353,Equipamentos!$A$5:$A$10,0)),0))</f>
        <v/>
      </c>
      <c r="O353" s="14">
        <f>IF(B353="","",M353*N353)</f>
        <v/>
      </c>
      <c r="P353" s="9" t="n"/>
    </row>
    <row r="354">
      <c r="A354" s="15" t="n"/>
      <c r="B354" s="9" t="n"/>
      <c r="C354" s="9" t="n"/>
      <c r="D354" s="9" t="n"/>
      <c r="E354" s="16" t="n"/>
      <c r="F354" s="16" t="n"/>
      <c r="G354" s="16" t="n"/>
      <c r="H354" s="17" t="n"/>
      <c r="I354" s="17" t="n"/>
      <c r="J354" s="9" t="n"/>
      <c r="K354" s="13">
        <f>IF(OR(E354="",F354=""),"",ROUND((MOD(F354-E354,1)-N(G354))*24,2))</f>
        <v/>
      </c>
      <c r="L354" s="13">
        <f>IF(OR(H354="",I354=""),"",I354-H354)</f>
        <v/>
      </c>
      <c r="M354" s="13">
        <f>IF(B354="","",IF(J354="Parado - cliente",IFERROR(INDEX(Equipamentos!$D$5:$D$10,MATCH(B354,Equipamentos!$A$5:$A$10,0)),0),IF(OR(J354="Parado - manutenção",J354="Sem serviço"),0,MAX(N(K354),IFERROR(INDEX(Equipamentos!$D$5:$D$10,MATCH(B354,Equipamentos!$A$5:$A$10,0)),0)))))</f>
        <v/>
      </c>
      <c r="N354" s="14">
        <f>IF(B354="","",IFERROR(INDEX(Equipamentos!$C$5:$C$10,MATCH(B354,Equipamentos!$A$5:$A$10,0)),0))</f>
        <v/>
      </c>
      <c r="O354" s="14">
        <f>IF(B354="","",M354*N354)</f>
        <v/>
      </c>
      <c r="P354" s="9" t="n"/>
    </row>
    <row r="355">
      <c r="A355" s="15" t="n"/>
      <c r="B355" s="9" t="n"/>
      <c r="C355" s="9" t="n"/>
      <c r="D355" s="9" t="n"/>
      <c r="E355" s="16" t="n"/>
      <c r="F355" s="16" t="n"/>
      <c r="G355" s="16" t="n"/>
      <c r="H355" s="17" t="n"/>
      <c r="I355" s="17" t="n"/>
      <c r="J355" s="9" t="n"/>
      <c r="K355" s="13">
        <f>IF(OR(E355="",F355=""),"",ROUND((MOD(F355-E355,1)-N(G355))*24,2))</f>
        <v/>
      </c>
      <c r="L355" s="13">
        <f>IF(OR(H355="",I355=""),"",I355-H355)</f>
        <v/>
      </c>
      <c r="M355" s="13">
        <f>IF(B355="","",IF(J355="Parado - cliente",IFERROR(INDEX(Equipamentos!$D$5:$D$10,MATCH(B355,Equipamentos!$A$5:$A$10,0)),0),IF(OR(J355="Parado - manutenção",J355="Sem serviço"),0,MAX(N(K355),IFERROR(INDEX(Equipamentos!$D$5:$D$10,MATCH(B355,Equipamentos!$A$5:$A$10,0)),0)))))</f>
        <v/>
      </c>
      <c r="N355" s="14">
        <f>IF(B355="","",IFERROR(INDEX(Equipamentos!$C$5:$C$10,MATCH(B355,Equipamentos!$A$5:$A$10,0)),0))</f>
        <v/>
      </c>
      <c r="O355" s="14">
        <f>IF(B355="","",M355*N355)</f>
        <v/>
      </c>
      <c r="P355" s="9" t="n"/>
    </row>
    <row r="356">
      <c r="A356" s="15" t="n"/>
      <c r="B356" s="9" t="n"/>
      <c r="C356" s="9" t="n"/>
      <c r="D356" s="9" t="n"/>
      <c r="E356" s="16" t="n"/>
      <c r="F356" s="16" t="n"/>
      <c r="G356" s="16" t="n"/>
      <c r="H356" s="17" t="n"/>
      <c r="I356" s="17" t="n"/>
      <c r="J356" s="9" t="n"/>
      <c r="K356" s="13">
        <f>IF(OR(E356="",F356=""),"",ROUND((MOD(F356-E356,1)-N(G356))*24,2))</f>
        <v/>
      </c>
      <c r="L356" s="13">
        <f>IF(OR(H356="",I356=""),"",I356-H356)</f>
        <v/>
      </c>
      <c r="M356" s="13">
        <f>IF(B356="","",IF(J356="Parado - cliente",IFERROR(INDEX(Equipamentos!$D$5:$D$10,MATCH(B356,Equipamentos!$A$5:$A$10,0)),0),IF(OR(J356="Parado - manutenção",J356="Sem serviço"),0,MAX(N(K356),IFERROR(INDEX(Equipamentos!$D$5:$D$10,MATCH(B356,Equipamentos!$A$5:$A$10,0)),0)))))</f>
        <v/>
      </c>
      <c r="N356" s="14">
        <f>IF(B356="","",IFERROR(INDEX(Equipamentos!$C$5:$C$10,MATCH(B356,Equipamentos!$A$5:$A$10,0)),0))</f>
        <v/>
      </c>
      <c r="O356" s="14">
        <f>IF(B356="","",M356*N356)</f>
        <v/>
      </c>
      <c r="P356" s="9" t="n"/>
    </row>
    <row r="357">
      <c r="A357" s="15" t="n"/>
      <c r="B357" s="9" t="n"/>
      <c r="C357" s="9" t="n"/>
      <c r="D357" s="9" t="n"/>
      <c r="E357" s="16" t="n"/>
      <c r="F357" s="16" t="n"/>
      <c r="G357" s="16" t="n"/>
      <c r="H357" s="17" t="n"/>
      <c r="I357" s="17" t="n"/>
      <c r="J357" s="9" t="n"/>
      <c r="K357" s="13">
        <f>IF(OR(E357="",F357=""),"",ROUND((MOD(F357-E357,1)-N(G357))*24,2))</f>
        <v/>
      </c>
      <c r="L357" s="13">
        <f>IF(OR(H357="",I357=""),"",I357-H357)</f>
        <v/>
      </c>
      <c r="M357" s="13">
        <f>IF(B357="","",IF(J357="Parado - cliente",IFERROR(INDEX(Equipamentos!$D$5:$D$10,MATCH(B357,Equipamentos!$A$5:$A$10,0)),0),IF(OR(J357="Parado - manutenção",J357="Sem serviço"),0,MAX(N(K357),IFERROR(INDEX(Equipamentos!$D$5:$D$10,MATCH(B357,Equipamentos!$A$5:$A$10,0)),0)))))</f>
        <v/>
      </c>
      <c r="N357" s="14">
        <f>IF(B357="","",IFERROR(INDEX(Equipamentos!$C$5:$C$10,MATCH(B357,Equipamentos!$A$5:$A$10,0)),0))</f>
        <v/>
      </c>
      <c r="O357" s="14">
        <f>IF(B357="","",M357*N357)</f>
        <v/>
      </c>
      <c r="P357" s="9" t="n"/>
    </row>
    <row r="358">
      <c r="A358" s="15" t="n"/>
      <c r="B358" s="9" t="n"/>
      <c r="C358" s="9" t="n"/>
      <c r="D358" s="9" t="n"/>
      <c r="E358" s="16" t="n"/>
      <c r="F358" s="16" t="n"/>
      <c r="G358" s="16" t="n"/>
      <c r="H358" s="17" t="n"/>
      <c r="I358" s="17" t="n"/>
      <c r="J358" s="9" t="n"/>
      <c r="K358" s="13">
        <f>IF(OR(E358="",F358=""),"",ROUND((MOD(F358-E358,1)-N(G358))*24,2))</f>
        <v/>
      </c>
      <c r="L358" s="13">
        <f>IF(OR(H358="",I358=""),"",I358-H358)</f>
        <v/>
      </c>
      <c r="M358" s="13">
        <f>IF(B358="","",IF(J358="Parado - cliente",IFERROR(INDEX(Equipamentos!$D$5:$D$10,MATCH(B358,Equipamentos!$A$5:$A$10,0)),0),IF(OR(J358="Parado - manutenção",J358="Sem serviço"),0,MAX(N(K358),IFERROR(INDEX(Equipamentos!$D$5:$D$10,MATCH(B358,Equipamentos!$A$5:$A$10,0)),0)))))</f>
        <v/>
      </c>
      <c r="N358" s="14">
        <f>IF(B358="","",IFERROR(INDEX(Equipamentos!$C$5:$C$10,MATCH(B358,Equipamentos!$A$5:$A$10,0)),0))</f>
        <v/>
      </c>
      <c r="O358" s="14">
        <f>IF(B358="","",M358*N358)</f>
        <v/>
      </c>
      <c r="P358" s="9" t="n"/>
    </row>
    <row r="359">
      <c r="A359" s="15" t="n"/>
      <c r="B359" s="9" t="n"/>
      <c r="C359" s="9" t="n"/>
      <c r="D359" s="9" t="n"/>
      <c r="E359" s="16" t="n"/>
      <c r="F359" s="16" t="n"/>
      <c r="G359" s="16" t="n"/>
      <c r="H359" s="17" t="n"/>
      <c r="I359" s="17" t="n"/>
      <c r="J359" s="9" t="n"/>
      <c r="K359" s="13">
        <f>IF(OR(E359="",F359=""),"",ROUND((MOD(F359-E359,1)-N(G359))*24,2))</f>
        <v/>
      </c>
      <c r="L359" s="13">
        <f>IF(OR(H359="",I359=""),"",I359-H359)</f>
        <v/>
      </c>
      <c r="M359" s="13">
        <f>IF(B359="","",IF(J359="Parado - cliente",IFERROR(INDEX(Equipamentos!$D$5:$D$10,MATCH(B359,Equipamentos!$A$5:$A$10,0)),0),IF(OR(J359="Parado - manutenção",J359="Sem serviço"),0,MAX(N(K359),IFERROR(INDEX(Equipamentos!$D$5:$D$10,MATCH(B359,Equipamentos!$A$5:$A$10,0)),0)))))</f>
        <v/>
      </c>
      <c r="N359" s="14">
        <f>IF(B359="","",IFERROR(INDEX(Equipamentos!$C$5:$C$10,MATCH(B359,Equipamentos!$A$5:$A$10,0)),0))</f>
        <v/>
      </c>
      <c r="O359" s="14">
        <f>IF(B359="","",M359*N359)</f>
        <v/>
      </c>
      <c r="P359" s="9" t="n"/>
    </row>
    <row r="360">
      <c r="A360" s="15" t="n"/>
      <c r="B360" s="9" t="n"/>
      <c r="C360" s="9" t="n"/>
      <c r="D360" s="9" t="n"/>
      <c r="E360" s="16" t="n"/>
      <c r="F360" s="16" t="n"/>
      <c r="G360" s="16" t="n"/>
      <c r="H360" s="17" t="n"/>
      <c r="I360" s="17" t="n"/>
      <c r="J360" s="9" t="n"/>
      <c r="K360" s="13">
        <f>IF(OR(E360="",F360=""),"",ROUND((MOD(F360-E360,1)-N(G360))*24,2))</f>
        <v/>
      </c>
      <c r="L360" s="13">
        <f>IF(OR(H360="",I360=""),"",I360-H360)</f>
        <v/>
      </c>
      <c r="M360" s="13">
        <f>IF(B360="","",IF(J360="Parado - cliente",IFERROR(INDEX(Equipamentos!$D$5:$D$10,MATCH(B360,Equipamentos!$A$5:$A$10,0)),0),IF(OR(J360="Parado - manutenção",J360="Sem serviço"),0,MAX(N(K360),IFERROR(INDEX(Equipamentos!$D$5:$D$10,MATCH(B360,Equipamentos!$A$5:$A$10,0)),0)))))</f>
        <v/>
      </c>
      <c r="N360" s="14">
        <f>IF(B360="","",IFERROR(INDEX(Equipamentos!$C$5:$C$10,MATCH(B360,Equipamentos!$A$5:$A$10,0)),0))</f>
        <v/>
      </c>
      <c r="O360" s="14">
        <f>IF(B360="","",M360*N360)</f>
        <v/>
      </c>
      <c r="P360" s="9" t="n"/>
    </row>
    <row r="361">
      <c r="A361" s="15" t="n"/>
      <c r="B361" s="9" t="n"/>
      <c r="C361" s="9" t="n"/>
      <c r="D361" s="9" t="n"/>
      <c r="E361" s="16" t="n"/>
      <c r="F361" s="16" t="n"/>
      <c r="G361" s="16" t="n"/>
      <c r="H361" s="17" t="n"/>
      <c r="I361" s="17" t="n"/>
      <c r="J361" s="9" t="n"/>
      <c r="K361" s="13">
        <f>IF(OR(E361="",F361=""),"",ROUND((MOD(F361-E361,1)-N(G361))*24,2))</f>
        <v/>
      </c>
      <c r="L361" s="13">
        <f>IF(OR(H361="",I361=""),"",I361-H361)</f>
        <v/>
      </c>
      <c r="M361" s="13">
        <f>IF(B361="","",IF(J361="Parado - cliente",IFERROR(INDEX(Equipamentos!$D$5:$D$10,MATCH(B361,Equipamentos!$A$5:$A$10,0)),0),IF(OR(J361="Parado - manutenção",J361="Sem serviço"),0,MAX(N(K361),IFERROR(INDEX(Equipamentos!$D$5:$D$10,MATCH(B361,Equipamentos!$A$5:$A$10,0)),0)))))</f>
        <v/>
      </c>
      <c r="N361" s="14">
        <f>IF(B361="","",IFERROR(INDEX(Equipamentos!$C$5:$C$10,MATCH(B361,Equipamentos!$A$5:$A$10,0)),0))</f>
        <v/>
      </c>
      <c r="O361" s="14">
        <f>IF(B361="","",M361*N361)</f>
        <v/>
      </c>
      <c r="P361" s="9" t="n"/>
    </row>
    <row r="362">
      <c r="A362" s="15" t="n"/>
      <c r="B362" s="9" t="n"/>
      <c r="C362" s="9" t="n"/>
      <c r="D362" s="9" t="n"/>
      <c r="E362" s="16" t="n"/>
      <c r="F362" s="16" t="n"/>
      <c r="G362" s="16" t="n"/>
      <c r="H362" s="17" t="n"/>
      <c r="I362" s="17" t="n"/>
      <c r="J362" s="9" t="n"/>
      <c r="K362" s="13">
        <f>IF(OR(E362="",F362=""),"",ROUND((MOD(F362-E362,1)-N(G362))*24,2))</f>
        <v/>
      </c>
      <c r="L362" s="13">
        <f>IF(OR(H362="",I362=""),"",I362-H362)</f>
        <v/>
      </c>
      <c r="M362" s="13">
        <f>IF(B362="","",IF(J362="Parado - cliente",IFERROR(INDEX(Equipamentos!$D$5:$D$10,MATCH(B362,Equipamentos!$A$5:$A$10,0)),0),IF(OR(J362="Parado - manutenção",J362="Sem serviço"),0,MAX(N(K362),IFERROR(INDEX(Equipamentos!$D$5:$D$10,MATCH(B362,Equipamentos!$A$5:$A$10,0)),0)))))</f>
        <v/>
      </c>
      <c r="N362" s="14">
        <f>IF(B362="","",IFERROR(INDEX(Equipamentos!$C$5:$C$10,MATCH(B362,Equipamentos!$A$5:$A$10,0)),0))</f>
        <v/>
      </c>
      <c r="O362" s="14">
        <f>IF(B362="","",M362*N362)</f>
        <v/>
      </c>
      <c r="P362" s="9" t="n"/>
    </row>
    <row r="363">
      <c r="A363" s="15" t="n"/>
      <c r="B363" s="9" t="n"/>
      <c r="C363" s="9" t="n"/>
      <c r="D363" s="9" t="n"/>
      <c r="E363" s="16" t="n"/>
      <c r="F363" s="16" t="n"/>
      <c r="G363" s="16" t="n"/>
      <c r="H363" s="17" t="n"/>
      <c r="I363" s="17" t="n"/>
      <c r="J363" s="9" t="n"/>
      <c r="K363" s="13">
        <f>IF(OR(E363="",F363=""),"",ROUND((MOD(F363-E363,1)-N(G363))*24,2))</f>
        <v/>
      </c>
      <c r="L363" s="13">
        <f>IF(OR(H363="",I363=""),"",I363-H363)</f>
        <v/>
      </c>
      <c r="M363" s="13">
        <f>IF(B363="","",IF(J363="Parado - cliente",IFERROR(INDEX(Equipamentos!$D$5:$D$10,MATCH(B363,Equipamentos!$A$5:$A$10,0)),0),IF(OR(J363="Parado - manutenção",J363="Sem serviço"),0,MAX(N(K363),IFERROR(INDEX(Equipamentos!$D$5:$D$10,MATCH(B363,Equipamentos!$A$5:$A$10,0)),0)))))</f>
        <v/>
      </c>
      <c r="N363" s="14">
        <f>IF(B363="","",IFERROR(INDEX(Equipamentos!$C$5:$C$10,MATCH(B363,Equipamentos!$A$5:$A$10,0)),0))</f>
        <v/>
      </c>
      <c r="O363" s="14">
        <f>IF(B363="","",M363*N363)</f>
        <v/>
      </c>
      <c r="P363" s="9" t="n"/>
    </row>
    <row r="364">
      <c r="A364" s="15" t="n"/>
      <c r="B364" s="9" t="n"/>
      <c r="C364" s="9" t="n"/>
      <c r="D364" s="9" t="n"/>
      <c r="E364" s="16" t="n"/>
      <c r="F364" s="16" t="n"/>
      <c r="G364" s="16" t="n"/>
      <c r="H364" s="17" t="n"/>
      <c r="I364" s="17" t="n"/>
      <c r="J364" s="9" t="n"/>
      <c r="K364" s="13">
        <f>IF(OR(E364="",F364=""),"",ROUND((MOD(F364-E364,1)-N(G364))*24,2))</f>
        <v/>
      </c>
      <c r="L364" s="13">
        <f>IF(OR(H364="",I364=""),"",I364-H364)</f>
        <v/>
      </c>
      <c r="M364" s="13">
        <f>IF(B364="","",IF(J364="Parado - cliente",IFERROR(INDEX(Equipamentos!$D$5:$D$10,MATCH(B364,Equipamentos!$A$5:$A$10,0)),0),IF(OR(J364="Parado - manutenção",J364="Sem serviço"),0,MAX(N(K364),IFERROR(INDEX(Equipamentos!$D$5:$D$10,MATCH(B364,Equipamentos!$A$5:$A$10,0)),0)))))</f>
        <v/>
      </c>
      <c r="N364" s="14">
        <f>IF(B364="","",IFERROR(INDEX(Equipamentos!$C$5:$C$10,MATCH(B364,Equipamentos!$A$5:$A$10,0)),0))</f>
        <v/>
      </c>
      <c r="O364" s="14">
        <f>IF(B364="","",M364*N364)</f>
        <v/>
      </c>
      <c r="P364" s="9" t="n"/>
    </row>
    <row r="365">
      <c r="A365" s="15" t="n"/>
      <c r="B365" s="9" t="n"/>
      <c r="C365" s="9" t="n"/>
      <c r="D365" s="9" t="n"/>
      <c r="E365" s="16" t="n"/>
      <c r="F365" s="16" t="n"/>
      <c r="G365" s="16" t="n"/>
      <c r="H365" s="17" t="n"/>
      <c r="I365" s="17" t="n"/>
      <c r="J365" s="9" t="n"/>
      <c r="K365" s="13">
        <f>IF(OR(E365="",F365=""),"",ROUND((MOD(F365-E365,1)-N(G365))*24,2))</f>
        <v/>
      </c>
      <c r="L365" s="13">
        <f>IF(OR(H365="",I365=""),"",I365-H365)</f>
        <v/>
      </c>
      <c r="M365" s="13">
        <f>IF(B365="","",IF(J365="Parado - cliente",IFERROR(INDEX(Equipamentos!$D$5:$D$10,MATCH(B365,Equipamentos!$A$5:$A$10,0)),0),IF(OR(J365="Parado - manutenção",J365="Sem serviço"),0,MAX(N(K365),IFERROR(INDEX(Equipamentos!$D$5:$D$10,MATCH(B365,Equipamentos!$A$5:$A$10,0)),0)))))</f>
        <v/>
      </c>
      <c r="N365" s="14">
        <f>IF(B365="","",IFERROR(INDEX(Equipamentos!$C$5:$C$10,MATCH(B365,Equipamentos!$A$5:$A$10,0)),0))</f>
        <v/>
      </c>
      <c r="O365" s="14">
        <f>IF(B365="","",M365*N365)</f>
        <v/>
      </c>
      <c r="P365" s="9" t="n"/>
    </row>
    <row r="366">
      <c r="A366" s="15" t="n"/>
      <c r="B366" s="9" t="n"/>
      <c r="C366" s="9" t="n"/>
      <c r="D366" s="9" t="n"/>
      <c r="E366" s="16" t="n"/>
      <c r="F366" s="16" t="n"/>
      <c r="G366" s="16" t="n"/>
      <c r="H366" s="17" t="n"/>
      <c r="I366" s="17" t="n"/>
      <c r="J366" s="9" t="n"/>
      <c r="K366" s="13">
        <f>IF(OR(E366="",F366=""),"",ROUND((MOD(F366-E366,1)-N(G366))*24,2))</f>
        <v/>
      </c>
      <c r="L366" s="13">
        <f>IF(OR(H366="",I366=""),"",I366-H366)</f>
        <v/>
      </c>
      <c r="M366" s="13">
        <f>IF(B366="","",IF(J366="Parado - cliente",IFERROR(INDEX(Equipamentos!$D$5:$D$10,MATCH(B366,Equipamentos!$A$5:$A$10,0)),0),IF(OR(J366="Parado - manutenção",J366="Sem serviço"),0,MAX(N(K366),IFERROR(INDEX(Equipamentos!$D$5:$D$10,MATCH(B366,Equipamentos!$A$5:$A$10,0)),0)))))</f>
        <v/>
      </c>
      <c r="N366" s="14">
        <f>IF(B366="","",IFERROR(INDEX(Equipamentos!$C$5:$C$10,MATCH(B366,Equipamentos!$A$5:$A$10,0)),0))</f>
        <v/>
      </c>
      <c r="O366" s="14">
        <f>IF(B366="","",M366*N366)</f>
        <v/>
      </c>
      <c r="P366" s="9" t="n"/>
    </row>
    <row r="367">
      <c r="A367" s="15" t="n"/>
      <c r="B367" s="9" t="n"/>
      <c r="C367" s="9" t="n"/>
      <c r="D367" s="9" t="n"/>
      <c r="E367" s="16" t="n"/>
      <c r="F367" s="16" t="n"/>
      <c r="G367" s="16" t="n"/>
      <c r="H367" s="17" t="n"/>
      <c r="I367" s="17" t="n"/>
      <c r="J367" s="9" t="n"/>
      <c r="K367" s="13">
        <f>IF(OR(E367="",F367=""),"",ROUND((MOD(F367-E367,1)-N(G367))*24,2))</f>
        <v/>
      </c>
      <c r="L367" s="13">
        <f>IF(OR(H367="",I367=""),"",I367-H367)</f>
        <v/>
      </c>
      <c r="M367" s="13">
        <f>IF(B367="","",IF(J367="Parado - cliente",IFERROR(INDEX(Equipamentos!$D$5:$D$10,MATCH(B367,Equipamentos!$A$5:$A$10,0)),0),IF(OR(J367="Parado - manutenção",J367="Sem serviço"),0,MAX(N(K367),IFERROR(INDEX(Equipamentos!$D$5:$D$10,MATCH(B367,Equipamentos!$A$5:$A$10,0)),0)))))</f>
        <v/>
      </c>
      <c r="N367" s="14">
        <f>IF(B367="","",IFERROR(INDEX(Equipamentos!$C$5:$C$10,MATCH(B367,Equipamentos!$A$5:$A$10,0)),0))</f>
        <v/>
      </c>
      <c r="O367" s="14">
        <f>IF(B367="","",M367*N367)</f>
        <v/>
      </c>
      <c r="P367" s="9" t="n"/>
    </row>
    <row r="368">
      <c r="A368" s="15" t="n"/>
      <c r="B368" s="9" t="n"/>
      <c r="C368" s="9" t="n"/>
      <c r="D368" s="9" t="n"/>
      <c r="E368" s="16" t="n"/>
      <c r="F368" s="16" t="n"/>
      <c r="G368" s="16" t="n"/>
      <c r="H368" s="17" t="n"/>
      <c r="I368" s="17" t="n"/>
      <c r="J368" s="9" t="n"/>
      <c r="K368" s="13">
        <f>IF(OR(E368="",F368=""),"",ROUND((MOD(F368-E368,1)-N(G368))*24,2))</f>
        <v/>
      </c>
      <c r="L368" s="13">
        <f>IF(OR(H368="",I368=""),"",I368-H368)</f>
        <v/>
      </c>
      <c r="M368" s="13">
        <f>IF(B368="","",IF(J368="Parado - cliente",IFERROR(INDEX(Equipamentos!$D$5:$D$10,MATCH(B368,Equipamentos!$A$5:$A$10,0)),0),IF(OR(J368="Parado - manutenção",J368="Sem serviço"),0,MAX(N(K368),IFERROR(INDEX(Equipamentos!$D$5:$D$10,MATCH(B368,Equipamentos!$A$5:$A$10,0)),0)))))</f>
        <v/>
      </c>
      <c r="N368" s="14">
        <f>IF(B368="","",IFERROR(INDEX(Equipamentos!$C$5:$C$10,MATCH(B368,Equipamentos!$A$5:$A$10,0)),0))</f>
        <v/>
      </c>
      <c r="O368" s="14">
        <f>IF(B368="","",M368*N368)</f>
        <v/>
      </c>
      <c r="P368" s="9" t="n"/>
    </row>
    <row r="369">
      <c r="A369" s="15" t="n"/>
      <c r="B369" s="9" t="n"/>
      <c r="C369" s="9" t="n"/>
      <c r="D369" s="9" t="n"/>
      <c r="E369" s="16" t="n"/>
      <c r="F369" s="16" t="n"/>
      <c r="G369" s="16" t="n"/>
      <c r="H369" s="17" t="n"/>
      <c r="I369" s="17" t="n"/>
      <c r="J369" s="9" t="n"/>
      <c r="K369" s="13">
        <f>IF(OR(E369="",F369=""),"",ROUND((MOD(F369-E369,1)-N(G369))*24,2))</f>
        <v/>
      </c>
      <c r="L369" s="13">
        <f>IF(OR(H369="",I369=""),"",I369-H369)</f>
        <v/>
      </c>
      <c r="M369" s="13">
        <f>IF(B369="","",IF(J369="Parado - cliente",IFERROR(INDEX(Equipamentos!$D$5:$D$10,MATCH(B369,Equipamentos!$A$5:$A$10,0)),0),IF(OR(J369="Parado - manutenção",J369="Sem serviço"),0,MAX(N(K369),IFERROR(INDEX(Equipamentos!$D$5:$D$10,MATCH(B369,Equipamentos!$A$5:$A$10,0)),0)))))</f>
        <v/>
      </c>
      <c r="N369" s="14">
        <f>IF(B369="","",IFERROR(INDEX(Equipamentos!$C$5:$C$10,MATCH(B369,Equipamentos!$A$5:$A$10,0)),0))</f>
        <v/>
      </c>
      <c r="O369" s="14">
        <f>IF(B369="","",M369*N369)</f>
        <v/>
      </c>
      <c r="P369" s="9" t="n"/>
    </row>
    <row r="370">
      <c r="A370" s="15" t="n"/>
      <c r="B370" s="9" t="n"/>
      <c r="C370" s="9" t="n"/>
      <c r="D370" s="9" t="n"/>
      <c r="E370" s="16" t="n"/>
      <c r="F370" s="16" t="n"/>
      <c r="G370" s="16" t="n"/>
      <c r="H370" s="17" t="n"/>
      <c r="I370" s="17" t="n"/>
      <c r="J370" s="9" t="n"/>
      <c r="K370" s="13">
        <f>IF(OR(E370="",F370=""),"",ROUND((MOD(F370-E370,1)-N(G370))*24,2))</f>
        <v/>
      </c>
      <c r="L370" s="13">
        <f>IF(OR(H370="",I370=""),"",I370-H370)</f>
        <v/>
      </c>
      <c r="M370" s="13">
        <f>IF(B370="","",IF(J370="Parado - cliente",IFERROR(INDEX(Equipamentos!$D$5:$D$10,MATCH(B370,Equipamentos!$A$5:$A$10,0)),0),IF(OR(J370="Parado - manutenção",J370="Sem serviço"),0,MAX(N(K370),IFERROR(INDEX(Equipamentos!$D$5:$D$10,MATCH(B370,Equipamentos!$A$5:$A$10,0)),0)))))</f>
        <v/>
      </c>
      <c r="N370" s="14">
        <f>IF(B370="","",IFERROR(INDEX(Equipamentos!$C$5:$C$10,MATCH(B370,Equipamentos!$A$5:$A$10,0)),0))</f>
        <v/>
      </c>
      <c r="O370" s="14">
        <f>IF(B370="","",M370*N370)</f>
        <v/>
      </c>
      <c r="P370" s="9" t="n"/>
    </row>
    <row r="371">
      <c r="A371" s="15" t="n"/>
      <c r="B371" s="9" t="n"/>
      <c r="C371" s="9" t="n"/>
      <c r="D371" s="9" t="n"/>
      <c r="E371" s="16" t="n"/>
      <c r="F371" s="16" t="n"/>
      <c r="G371" s="16" t="n"/>
      <c r="H371" s="17" t="n"/>
      <c r="I371" s="17" t="n"/>
      <c r="J371" s="9" t="n"/>
      <c r="K371" s="13">
        <f>IF(OR(E371="",F371=""),"",ROUND((MOD(F371-E371,1)-N(G371))*24,2))</f>
        <v/>
      </c>
      <c r="L371" s="13">
        <f>IF(OR(H371="",I371=""),"",I371-H371)</f>
        <v/>
      </c>
      <c r="M371" s="13">
        <f>IF(B371="","",IF(J371="Parado - cliente",IFERROR(INDEX(Equipamentos!$D$5:$D$10,MATCH(B371,Equipamentos!$A$5:$A$10,0)),0),IF(OR(J371="Parado - manutenção",J371="Sem serviço"),0,MAX(N(K371),IFERROR(INDEX(Equipamentos!$D$5:$D$10,MATCH(B371,Equipamentos!$A$5:$A$10,0)),0)))))</f>
        <v/>
      </c>
      <c r="N371" s="14">
        <f>IF(B371="","",IFERROR(INDEX(Equipamentos!$C$5:$C$10,MATCH(B371,Equipamentos!$A$5:$A$10,0)),0))</f>
        <v/>
      </c>
      <c r="O371" s="14">
        <f>IF(B371="","",M371*N371)</f>
        <v/>
      </c>
      <c r="P371" s="9" t="n"/>
    </row>
    <row r="372">
      <c r="A372" s="15" t="n"/>
      <c r="B372" s="9" t="n"/>
      <c r="C372" s="9" t="n"/>
      <c r="D372" s="9" t="n"/>
      <c r="E372" s="16" t="n"/>
      <c r="F372" s="16" t="n"/>
      <c r="G372" s="16" t="n"/>
      <c r="H372" s="17" t="n"/>
      <c r="I372" s="17" t="n"/>
      <c r="J372" s="9" t="n"/>
      <c r="K372" s="13">
        <f>IF(OR(E372="",F372=""),"",ROUND((MOD(F372-E372,1)-N(G372))*24,2))</f>
        <v/>
      </c>
      <c r="L372" s="13">
        <f>IF(OR(H372="",I372=""),"",I372-H372)</f>
        <v/>
      </c>
      <c r="M372" s="13">
        <f>IF(B372="","",IF(J372="Parado - cliente",IFERROR(INDEX(Equipamentos!$D$5:$D$10,MATCH(B372,Equipamentos!$A$5:$A$10,0)),0),IF(OR(J372="Parado - manutenção",J372="Sem serviço"),0,MAX(N(K372),IFERROR(INDEX(Equipamentos!$D$5:$D$10,MATCH(B372,Equipamentos!$A$5:$A$10,0)),0)))))</f>
        <v/>
      </c>
      <c r="N372" s="14">
        <f>IF(B372="","",IFERROR(INDEX(Equipamentos!$C$5:$C$10,MATCH(B372,Equipamentos!$A$5:$A$10,0)),0))</f>
        <v/>
      </c>
      <c r="O372" s="14">
        <f>IF(B372="","",M372*N372)</f>
        <v/>
      </c>
      <c r="P372" s="9" t="n"/>
    </row>
    <row r="373">
      <c r="A373" s="15" t="n"/>
      <c r="B373" s="9" t="n"/>
      <c r="C373" s="9" t="n"/>
      <c r="D373" s="9" t="n"/>
      <c r="E373" s="16" t="n"/>
      <c r="F373" s="16" t="n"/>
      <c r="G373" s="16" t="n"/>
      <c r="H373" s="17" t="n"/>
      <c r="I373" s="17" t="n"/>
      <c r="J373" s="9" t="n"/>
      <c r="K373" s="13">
        <f>IF(OR(E373="",F373=""),"",ROUND((MOD(F373-E373,1)-N(G373))*24,2))</f>
        <v/>
      </c>
      <c r="L373" s="13">
        <f>IF(OR(H373="",I373=""),"",I373-H373)</f>
        <v/>
      </c>
      <c r="M373" s="13">
        <f>IF(B373="","",IF(J373="Parado - cliente",IFERROR(INDEX(Equipamentos!$D$5:$D$10,MATCH(B373,Equipamentos!$A$5:$A$10,0)),0),IF(OR(J373="Parado - manutenção",J373="Sem serviço"),0,MAX(N(K373),IFERROR(INDEX(Equipamentos!$D$5:$D$10,MATCH(B373,Equipamentos!$A$5:$A$10,0)),0)))))</f>
        <v/>
      </c>
      <c r="N373" s="14">
        <f>IF(B373="","",IFERROR(INDEX(Equipamentos!$C$5:$C$10,MATCH(B373,Equipamentos!$A$5:$A$10,0)),0))</f>
        <v/>
      </c>
      <c r="O373" s="14">
        <f>IF(B373="","",M373*N373)</f>
        <v/>
      </c>
      <c r="P373" s="9" t="n"/>
    </row>
    <row r="374">
      <c r="A374" s="15" t="n"/>
      <c r="B374" s="9" t="n"/>
      <c r="C374" s="9" t="n"/>
      <c r="D374" s="9" t="n"/>
      <c r="E374" s="16" t="n"/>
      <c r="F374" s="16" t="n"/>
      <c r="G374" s="16" t="n"/>
      <c r="H374" s="17" t="n"/>
      <c r="I374" s="17" t="n"/>
      <c r="J374" s="9" t="n"/>
      <c r="K374" s="13">
        <f>IF(OR(E374="",F374=""),"",ROUND((MOD(F374-E374,1)-N(G374))*24,2))</f>
        <v/>
      </c>
      <c r="L374" s="13">
        <f>IF(OR(H374="",I374=""),"",I374-H374)</f>
        <v/>
      </c>
      <c r="M374" s="13">
        <f>IF(B374="","",IF(J374="Parado - cliente",IFERROR(INDEX(Equipamentos!$D$5:$D$10,MATCH(B374,Equipamentos!$A$5:$A$10,0)),0),IF(OR(J374="Parado - manutenção",J374="Sem serviço"),0,MAX(N(K374),IFERROR(INDEX(Equipamentos!$D$5:$D$10,MATCH(B374,Equipamentos!$A$5:$A$10,0)),0)))))</f>
        <v/>
      </c>
      <c r="N374" s="14">
        <f>IF(B374="","",IFERROR(INDEX(Equipamentos!$C$5:$C$10,MATCH(B374,Equipamentos!$A$5:$A$10,0)),0))</f>
        <v/>
      </c>
      <c r="O374" s="14">
        <f>IF(B374="","",M374*N374)</f>
        <v/>
      </c>
      <c r="P374" s="9" t="n"/>
    </row>
    <row r="375">
      <c r="A375" s="15" t="n"/>
      <c r="B375" s="9" t="n"/>
      <c r="C375" s="9" t="n"/>
      <c r="D375" s="9" t="n"/>
      <c r="E375" s="16" t="n"/>
      <c r="F375" s="16" t="n"/>
      <c r="G375" s="16" t="n"/>
      <c r="H375" s="17" t="n"/>
      <c r="I375" s="17" t="n"/>
      <c r="J375" s="9" t="n"/>
      <c r="K375" s="13">
        <f>IF(OR(E375="",F375=""),"",ROUND((MOD(F375-E375,1)-N(G375))*24,2))</f>
        <v/>
      </c>
      <c r="L375" s="13">
        <f>IF(OR(H375="",I375=""),"",I375-H375)</f>
        <v/>
      </c>
      <c r="M375" s="13">
        <f>IF(B375="","",IF(J375="Parado - cliente",IFERROR(INDEX(Equipamentos!$D$5:$D$10,MATCH(B375,Equipamentos!$A$5:$A$10,0)),0),IF(OR(J375="Parado - manutenção",J375="Sem serviço"),0,MAX(N(K375),IFERROR(INDEX(Equipamentos!$D$5:$D$10,MATCH(B375,Equipamentos!$A$5:$A$10,0)),0)))))</f>
        <v/>
      </c>
      <c r="N375" s="14">
        <f>IF(B375="","",IFERROR(INDEX(Equipamentos!$C$5:$C$10,MATCH(B375,Equipamentos!$A$5:$A$10,0)),0))</f>
        <v/>
      </c>
      <c r="O375" s="14">
        <f>IF(B375="","",M375*N375)</f>
        <v/>
      </c>
      <c r="P375" s="9" t="n"/>
    </row>
    <row r="376">
      <c r="A376" s="15" t="n"/>
      <c r="B376" s="9" t="n"/>
      <c r="C376" s="9" t="n"/>
      <c r="D376" s="9" t="n"/>
      <c r="E376" s="16" t="n"/>
      <c r="F376" s="16" t="n"/>
      <c r="G376" s="16" t="n"/>
      <c r="H376" s="17" t="n"/>
      <c r="I376" s="17" t="n"/>
      <c r="J376" s="9" t="n"/>
      <c r="K376" s="13">
        <f>IF(OR(E376="",F376=""),"",ROUND((MOD(F376-E376,1)-N(G376))*24,2))</f>
        <v/>
      </c>
      <c r="L376" s="13">
        <f>IF(OR(H376="",I376=""),"",I376-H376)</f>
        <v/>
      </c>
      <c r="M376" s="13">
        <f>IF(B376="","",IF(J376="Parado - cliente",IFERROR(INDEX(Equipamentos!$D$5:$D$10,MATCH(B376,Equipamentos!$A$5:$A$10,0)),0),IF(OR(J376="Parado - manutenção",J376="Sem serviço"),0,MAX(N(K376),IFERROR(INDEX(Equipamentos!$D$5:$D$10,MATCH(B376,Equipamentos!$A$5:$A$10,0)),0)))))</f>
        <v/>
      </c>
      <c r="N376" s="14">
        <f>IF(B376="","",IFERROR(INDEX(Equipamentos!$C$5:$C$10,MATCH(B376,Equipamentos!$A$5:$A$10,0)),0))</f>
        <v/>
      </c>
      <c r="O376" s="14">
        <f>IF(B376="","",M376*N376)</f>
        <v/>
      </c>
      <c r="P376" s="9" t="n"/>
    </row>
    <row r="377">
      <c r="A377" s="15" t="n"/>
      <c r="B377" s="9" t="n"/>
      <c r="C377" s="9" t="n"/>
      <c r="D377" s="9" t="n"/>
      <c r="E377" s="16" t="n"/>
      <c r="F377" s="16" t="n"/>
      <c r="G377" s="16" t="n"/>
      <c r="H377" s="17" t="n"/>
      <c r="I377" s="17" t="n"/>
      <c r="J377" s="9" t="n"/>
      <c r="K377" s="13">
        <f>IF(OR(E377="",F377=""),"",ROUND((MOD(F377-E377,1)-N(G377))*24,2))</f>
        <v/>
      </c>
      <c r="L377" s="13">
        <f>IF(OR(H377="",I377=""),"",I377-H377)</f>
        <v/>
      </c>
      <c r="M377" s="13">
        <f>IF(B377="","",IF(J377="Parado - cliente",IFERROR(INDEX(Equipamentos!$D$5:$D$10,MATCH(B377,Equipamentos!$A$5:$A$10,0)),0),IF(OR(J377="Parado - manutenção",J377="Sem serviço"),0,MAX(N(K377),IFERROR(INDEX(Equipamentos!$D$5:$D$10,MATCH(B377,Equipamentos!$A$5:$A$10,0)),0)))))</f>
        <v/>
      </c>
      <c r="N377" s="14">
        <f>IF(B377="","",IFERROR(INDEX(Equipamentos!$C$5:$C$10,MATCH(B377,Equipamentos!$A$5:$A$10,0)),0))</f>
        <v/>
      </c>
      <c r="O377" s="14">
        <f>IF(B377="","",M377*N377)</f>
        <v/>
      </c>
      <c r="P377" s="9" t="n"/>
    </row>
    <row r="378">
      <c r="A378" s="15" t="n"/>
      <c r="B378" s="9" t="n"/>
      <c r="C378" s="9" t="n"/>
      <c r="D378" s="9" t="n"/>
      <c r="E378" s="16" t="n"/>
      <c r="F378" s="16" t="n"/>
      <c r="G378" s="16" t="n"/>
      <c r="H378" s="17" t="n"/>
      <c r="I378" s="17" t="n"/>
      <c r="J378" s="9" t="n"/>
      <c r="K378" s="13">
        <f>IF(OR(E378="",F378=""),"",ROUND((MOD(F378-E378,1)-N(G378))*24,2))</f>
        <v/>
      </c>
      <c r="L378" s="13">
        <f>IF(OR(H378="",I378=""),"",I378-H378)</f>
        <v/>
      </c>
      <c r="M378" s="13">
        <f>IF(B378="","",IF(J378="Parado - cliente",IFERROR(INDEX(Equipamentos!$D$5:$D$10,MATCH(B378,Equipamentos!$A$5:$A$10,0)),0),IF(OR(J378="Parado - manutenção",J378="Sem serviço"),0,MAX(N(K378),IFERROR(INDEX(Equipamentos!$D$5:$D$10,MATCH(B378,Equipamentos!$A$5:$A$10,0)),0)))))</f>
        <v/>
      </c>
      <c r="N378" s="14">
        <f>IF(B378="","",IFERROR(INDEX(Equipamentos!$C$5:$C$10,MATCH(B378,Equipamentos!$A$5:$A$10,0)),0))</f>
        <v/>
      </c>
      <c r="O378" s="14">
        <f>IF(B378="","",M378*N378)</f>
        <v/>
      </c>
      <c r="P378" s="9" t="n"/>
    </row>
    <row r="379">
      <c r="A379" s="15" t="n"/>
      <c r="B379" s="9" t="n"/>
      <c r="C379" s="9" t="n"/>
      <c r="D379" s="9" t="n"/>
      <c r="E379" s="16" t="n"/>
      <c r="F379" s="16" t="n"/>
      <c r="G379" s="16" t="n"/>
      <c r="H379" s="17" t="n"/>
      <c r="I379" s="17" t="n"/>
      <c r="J379" s="9" t="n"/>
      <c r="K379" s="13">
        <f>IF(OR(E379="",F379=""),"",ROUND((MOD(F379-E379,1)-N(G379))*24,2))</f>
        <v/>
      </c>
      <c r="L379" s="13">
        <f>IF(OR(H379="",I379=""),"",I379-H379)</f>
        <v/>
      </c>
      <c r="M379" s="13">
        <f>IF(B379="","",IF(J379="Parado - cliente",IFERROR(INDEX(Equipamentos!$D$5:$D$10,MATCH(B379,Equipamentos!$A$5:$A$10,0)),0),IF(OR(J379="Parado - manutenção",J379="Sem serviço"),0,MAX(N(K379),IFERROR(INDEX(Equipamentos!$D$5:$D$10,MATCH(B379,Equipamentos!$A$5:$A$10,0)),0)))))</f>
        <v/>
      </c>
      <c r="N379" s="14">
        <f>IF(B379="","",IFERROR(INDEX(Equipamentos!$C$5:$C$10,MATCH(B379,Equipamentos!$A$5:$A$10,0)),0))</f>
        <v/>
      </c>
      <c r="O379" s="14">
        <f>IF(B379="","",M379*N379)</f>
        <v/>
      </c>
      <c r="P379" s="9" t="n"/>
    </row>
    <row r="380">
      <c r="A380" s="15" t="n"/>
      <c r="B380" s="9" t="n"/>
      <c r="C380" s="9" t="n"/>
      <c r="D380" s="9" t="n"/>
      <c r="E380" s="16" t="n"/>
      <c r="F380" s="16" t="n"/>
      <c r="G380" s="16" t="n"/>
      <c r="H380" s="17" t="n"/>
      <c r="I380" s="17" t="n"/>
      <c r="J380" s="9" t="n"/>
      <c r="K380" s="13">
        <f>IF(OR(E380="",F380=""),"",ROUND((MOD(F380-E380,1)-N(G380))*24,2))</f>
        <v/>
      </c>
      <c r="L380" s="13">
        <f>IF(OR(H380="",I380=""),"",I380-H380)</f>
        <v/>
      </c>
      <c r="M380" s="13">
        <f>IF(B380="","",IF(J380="Parado - cliente",IFERROR(INDEX(Equipamentos!$D$5:$D$10,MATCH(B380,Equipamentos!$A$5:$A$10,0)),0),IF(OR(J380="Parado - manutenção",J380="Sem serviço"),0,MAX(N(K380),IFERROR(INDEX(Equipamentos!$D$5:$D$10,MATCH(B380,Equipamentos!$A$5:$A$10,0)),0)))))</f>
        <v/>
      </c>
      <c r="N380" s="14">
        <f>IF(B380="","",IFERROR(INDEX(Equipamentos!$C$5:$C$10,MATCH(B380,Equipamentos!$A$5:$A$10,0)),0))</f>
        <v/>
      </c>
      <c r="O380" s="14">
        <f>IF(B380="","",M380*N380)</f>
        <v/>
      </c>
      <c r="P380" s="9" t="n"/>
    </row>
    <row r="381">
      <c r="A381" s="15" t="n"/>
      <c r="B381" s="9" t="n"/>
      <c r="C381" s="9" t="n"/>
      <c r="D381" s="9" t="n"/>
      <c r="E381" s="16" t="n"/>
      <c r="F381" s="16" t="n"/>
      <c r="G381" s="16" t="n"/>
      <c r="H381" s="17" t="n"/>
      <c r="I381" s="17" t="n"/>
      <c r="J381" s="9" t="n"/>
      <c r="K381" s="13">
        <f>IF(OR(E381="",F381=""),"",ROUND((MOD(F381-E381,1)-N(G381))*24,2))</f>
        <v/>
      </c>
      <c r="L381" s="13">
        <f>IF(OR(H381="",I381=""),"",I381-H381)</f>
        <v/>
      </c>
      <c r="M381" s="13">
        <f>IF(B381="","",IF(J381="Parado - cliente",IFERROR(INDEX(Equipamentos!$D$5:$D$10,MATCH(B381,Equipamentos!$A$5:$A$10,0)),0),IF(OR(J381="Parado - manutenção",J381="Sem serviço"),0,MAX(N(K381),IFERROR(INDEX(Equipamentos!$D$5:$D$10,MATCH(B381,Equipamentos!$A$5:$A$10,0)),0)))))</f>
        <v/>
      </c>
      <c r="N381" s="14">
        <f>IF(B381="","",IFERROR(INDEX(Equipamentos!$C$5:$C$10,MATCH(B381,Equipamentos!$A$5:$A$10,0)),0))</f>
        <v/>
      </c>
      <c r="O381" s="14">
        <f>IF(B381="","",M381*N381)</f>
        <v/>
      </c>
      <c r="P381" s="9" t="n"/>
    </row>
    <row r="382">
      <c r="A382" s="15" t="n"/>
      <c r="B382" s="9" t="n"/>
      <c r="C382" s="9" t="n"/>
      <c r="D382" s="9" t="n"/>
      <c r="E382" s="16" t="n"/>
      <c r="F382" s="16" t="n"/>
      <c r="G382" s="16" t="n"/>
      <c r="H382" s="17" t="n"/>
      <c r="I382" s="17" t="n"/>
      <c r="J382" s="9" t="n"/>
      <c r="K382" s="13">
        <f>IF(OR(E382="",F382=""),"",ROUND((MOD(F382-E382,1)-N(G382))*24,2))</f>
        <v/>
      </c>
      <c r="L382" s="13">
        <f>IF(OR(H382="",I382=""),"",I382-H382)</f>
        <v/>
      </c>
      <c r="M382" s="13">
        <f>IF(B382="","",IF(J382="Parado - cliente",IFERROR(INDEX(Equipamentos!$D$5:$D$10,MATCH(B382,Equipamentos!$A$5:$A$10,0)),0),IF(OR(J382="Parado - manutenção",J382="Sem serviço"),0,MAX(N(K382),IFERROR(INDEX(Equipamentos!$D$5:$D$10,MATCH(B382,Equipamentos!$A$5:$A$10,0)),0)))))</f>
        <v/>
      </c>
      <c r="N382" s="14">
        <f>IF(B382="","",IFERROR(INDEX(Equipamentos!$C$5:$C$10,MATCH(B382,Equipamentos!$A$5:$A$10,0)),0))</f>
        <v/>
      </c>
      <c r="O382" s="14">
        <f>IF(B382="","",M382*N382)</f>
        <v/>
      </c>
      <c r="P382" s="9" t="n"/>
    </row>
    <row r="383">
      <c r="A383" s="15" t="n"/>
      <c r="B383" s="9" t="n"/>
      <c r="C383" s="9" t="n"/>
      <c r="D383" s="9" t="n"/>
      <c r="E383" s="16" t="n"/>
      <c r="F383" s="16" t="n"/>
      <c r="G383" s="16" t="n"/>
      <c r="H383" s="17" t="n"/>
      <c r="I383" s="17" t="n"/>
      <c r="J383" s="9" t="n"/>
      <c r="K383" s="13">
        <f>IF(OR(E383="",F383=""),"",ROUND((MOD(F383-E383,1)-N(G383))*24,2))</f>
        <v/>
      </c>
      <c r="L383" s="13">
        <f>IF(OR(H383="",I383=""),"",I383-H383)</f>
        <v/>
      </c>
      <c r="M383" s="13">
        <f>IF(B383="","",IF(J383="Parado - cliente",IFERROR(INDEX(Equipamentos!$D$5:$D$10,MATCH(B383,Equipamentos!$A$5:$A$10,0)),0),IF(OR(J383="Parado - manutenção",J383="Sem serviço"),0,MAX(N(K383),IFERROR(INDEX(Equipamentos!$D$5:$D$10,MATCH(B383,Equipamentos!$A$5:$A$10,0)),0)))))</f>
        <v/>
      </c>
      <c r="N383" s="14">
        <f>IF(B383="","",IFERROR(INDEX(Equipamentos!$C$5:$C$10,MATCH(B383,Equipamentos!$A$5:$A$10,0)),0))</f>
        <v/>
      </c>
      <c r="O383" s="14">
        <f>IF(B383="","",M383*N383)</f>
        <v/>
      </c>
      <c r="P383" s="9" t="n"/>
    </row>
    <row r="384">
      <c r="A384" s="15" t="n"/>
      <c r="B384" s="9" t="n"/>
      <c r="C384" s="9" t="n"/>
      <c r="D384" s="9" t="n"/>
      <c r="E384" s="16" t="n"/>
      <c r="F384" s="16" t="n"/>
      <c r="G384" s="16" t="n"/>
      <c r="H384" s="17" t="n"/>
      <c r="I384" s="17" t="n"/>
      <c r="J384" s="9" t="n"/>
      <c r="K384" s="13">
        <f>IF(OR(E384="",F384=""),"",ROUND((MOD(F384-E384,1)-N(G384))*24,2))</f>
        <v/>
      </c>
      <c r="L384" s="13">
        <f>IF(OR(H384="",I384=""),"",I384-H384)</f>
        <v/>
      </c>
      <c r="M384" s="13">
        <f>IF(B384="","",IF(J384="Parado - cliente",IFERROR(INDEX(Equipamentos!$D$5:$D$10,MATCH(B384,Equipamentos!$A$5:$A$10,0)),0),IF(OR(J384="Parado - manutenção",J384="Sem serviço"),0,MAX(N(K384),IFERROR(INDEX(Equipamentos!$D$5:$D$10,MATCH(B384,Equipamentos!$A$5:$A$10,0)),0)))))</f>
        <v/>
      </c>
      <c r="N384" s="14">
        <f>IF(B384="","",IFERROR(INDEX(Equipamentos!$C$5:$C$10,MATCH(B384,Equipamentos!$A$5:$A$10,0)),0))</f>
        <v/>
      </c>
      <c r="O384" s="14">
        <f>IF(B384="","",M384*N384)</f>
        <v/>
      </c>
      <c r="P384" s="9" t="n"/>
    </row>
    <row r="385">
      <c r="A385" s="15" t="n"/>
      <c r="B385" s="9" t="n"/>
      <c r="C385" s="9" t="n"/>
      <c r="D385" s="9" t="n"/>
      <c r="E385" s="16" t="n"/>
      <c r="F385" s="16" t="n"/>
      <c r="G385" s="16" t="n"/>
      <c r="H385" s="17" t="n"/>
      <c r="I385" s="17" t="n"/>
      <c r="J385" s="9" t="n"/>
      <c r="K385" s="13">
        <f>IF(OR(E385="",F385=""),"",ROUND((MOD(F385-E385,1)-N(G385))*24,2))</f>
        <v/>
      </c>
      <c r="L385" s="13">
        <f>IF(OR(H385="",I385=""),"",I385-H385)</f>
        <v/>
      </c>
      <c r="M385" s="13">
        <f>IF(B385="","",IF(J385="Parado - cliente",IFERROR(INDEX(Equipamentos!$D$5:$D$10,MATCH(B385,Equipamentos!$A$5:$A$10,0)),0),IF(OR(J385="Parado - manutenção",J385="Sem serviço"),0,MAX(N(K385),IFERROR(INDEX(Equipamentos!$D$5:$D$10,MATCH(B385,Equipamentos!$A$5:$A$10,0)),0)))))</f>
        <v/>
      </c>
      <c r="N385" s="14">
        <f>IF(B385="","",IFERROR(INDEX(Equipamentos!$C$5:$C$10,MATCH(B385,Equipamentos!$A$5:$A$10,0)),0))</f>
        <v/>
      </c>
      <c r="O385" s="14">
        <f>IF(B385="","",M385*N385)</f>
        <v/>
      </c>
      <c r="P385" s="9" t="n"/>
    </row>
    <row r="386">
      <c r="A386" s="15" t="n"/>
      <c r="B386" s="9" t="n"/>
      <c r="C386" s="9" t="n"/>
      <c r="D386" s="9" t="n"/>
      <c r="E386" s="16" t="n"/>
      <c r="F386" s="16" t="n"/>
      <c r="G386" s="16" t="n"/>
      <c r="H386" s="17" t="n"/>
      <c r="I386" s="17" t="n"/>
      <c r="J386" s="9" t="n"/>
      <c r="K386" s="13">
        <f>IF(OR(E386="",F386=""),"",ROUND((MOD(F386-E386,1)-N(G386))*24,2))</f>
        <v/>
      </c>
      <c r="L386" s="13">
        <f>IF(OR(H386="",I386=""),"",I386-H386)</f>
        <v/>
      </c>
      <c r="M386" s="13">
        <f>IF(B386="","",IF(J386="Parado - cliente",IFERROR(INDEX(Equipamentos!$D$5:$D$10,MATCH(B386,Equipamentos!$A$5:$A$10,0)),0),IF(OR(J386="Parado - manutenção",J386="Sem serviço"),0,MAX(N(K386),IFERROR(INDEX(Equipamentos!$D$5:$D$10,MATCH(B386,Equipamentos!$A$5:$A$10,0)),0)))))</f>
        <v/>
      </c>
      <c r="N386" s="14">
        <f>IF(B386="","",IFERROR(INDEX(Equipamentos!$C$5:$C$10,MATCH(B386,Equipamentos!$A$5:$A$10,0)),0))</f>
        <v/>
      </c>
      <c r="O386" s="14">
        <f>IF(B386="","",M386*N386)</f>
        <v/>
      </c>
      <c r="P386" s="9" t="n"/>
    </row>
    <row r="387">
      <c r="A387" s="15" t="n"/>
      <c r="B387" s="9" t="n"/>
      <c r="C387" s="9" t="n"/>
      <c r="D387" s="9" t="n"/>
      <c r="E387" s="16" t="n"/>
      <c r="F387" s="16" t="n"/>
      <c r="G387" s="16" t="n"/>
      <c r="H387" s="17" t="n"/>
      <c r="I387" s="17" t="n"/>
      <c r="J387" s="9" t="n"/>
      <c r="K387" s="13">
        <f>IF(OR(E387="",F387=""),"",ROUND((MOD(F387-E387,1)-N(G387))*24,2))</f>
        <v/>
      </c>
      <c r="L387" s="13">
        <f>IF(OR(H387="",I387=""),"",I387-H387)</f>
        <v/>
      </c>
      <c r="M387" s="13">
        <f>IF(B387="","",IF(J387="Parado - cliente",IFERROR(INDEX(Equipamentos!$D$5:$D$10,MATCH(B387,Equipamentos!$A$5:$A$10,0)),0),IF(OR(J387="Parado - manutenção",J387="Sem serviço"),0,MAX(N(K387),IFERROR(INDEX(Equipamentos!$D$5:$D$10,MATCH(B387,Equipamentos!$A$5:$A$10,0)),0)))))</f>
        <v/>
      </c>
      <c r="N387" s="14">
        <f>IF(B387="","",IFERROR(INDEX(Equipamentos!$C$5:$C$10,MATCH(B387,Equipamentos!$A$5:$A$10,0)),0))</f>
        <v/>
      </c>
      <c r="O387" s="14">
        <f>IF(B387="","",M387*N387)</f>
        <v/>
      </c>
      <c r="P387" s="9" t="n"/>
    </row>
    <row r="388">
      <c r="A388" s="15" t="n"/>
      <c r="B388" s="9" t="n"/>
      <c r="C388" s="9" t="n"/>
      <c r="D388" s="9" t="n"/>
      <c r="E388" s="16" t="n"/>
      <c r="F388" s="16" t="n"/>
      <c r="G388" s="16" t="n"/>
      <c r="H388" s="17" t="n"/>
      <c r="I388" s="17" t="n"/>
      <c r="J388" s="9" t="n"/>
      <c r="K388" s="13">
        <f>IF(OR(E388="",F388=""),"",ROUND((MOD(F388-E388,1)-N(G388))*24,2))</f>
        <v/>
      </c>
      <c r="L388" s="13">
        <f>IF(OR(H388="",I388=""),"",I388-H388)</f>
        <v/>
      </c>
      <c r="M388" s="13">
        <f>IF(B388="","",IF(J388="Parado - cliente",IFERROR(INDEX(Equipamentos!$D$5:$D$10,MATCH(B388,Equipamentos!$A$5:$A$10,0)),0),IF(OR(J388="Parado - manutenção",J388="Sem serviço"),0,MAX(N(K388),IFERROR(INDEX(Equipamentos!$D$5:$D$10,MATCH(B388,Equipamentos!$A$5:$A$10,0)),0)))))</f>
        <v/>
      </c>
      <c r="N388" s="14">
        <f>IF(B388="","",IFERROR(INDEX(Equipamentos!$C$5:$C$10,MATCH(B388,Equipamentos!$A$5:$A$10,0)),0))</f>
        <v/>
      </c>
      <c r="O388" s="14">
        <f>IF(B388="","",M388*N388)</f>
        <v/>
      </c>
      <c r="P388" s="9" t="n"/>
    </row>
    <row r="389">
      <c r="A389" s="15" t="n"/>
      <c r="B389" s="9" t="n"/>
      <c r="C389" s="9" t="n"/>
      <c r="D389" s="9" t="n"/>
      <c r="E389" s="16" t="n"/>
      <c r="F389" s="16" t="n"/>
      <c r="G389" s="16" t="n"/>
      <c r="H389" s="17" t="n"/>
      <c r="I389" s="17" t="n"/>
      <c r="J389" s="9" t="n"/>
      <c r="K389" s="13">
        <f>IF(OR(E389="",F389=""),"",ROUND((MOD(F389-E389,1)-N(G389))*24,2))</f>
        <v/>
      </c>
      <c r="L389" s="13">
        <f>IF(OR(H389="",I389=""),"",I389-H389)</f>
        <v/>
      </c>
      <c r="M389" s="13">
        <f>IF(B389="","",IF(J389="Parado - cliente",IFERROR(INDEX(Equipamentos!$D$5:$D$10,MATCH(B389,Equipamentos!$A$5:$A$10,0)),0),IF(OR(J389="Parado - manutenção",J389="Sem serviço"),0,MAX(N(K389),IFERROR(INDEX(Equipamentos!$D$5:$D$10,MATCH(B389,Equipamentos!$A$5:$A$10,0)),0)))))</f>
        <v/>
      </c>
      <c r="N389" s="14">
        <f>IF(B389="","",IFERROR(INDEX(Equipamentos!$C$5:$C$10,MATCH(B389,Equipamentos!$A$5:$A$10,0)),0))</f>
        <v/>
      </c>
      <c r="O389" s="14">
        <f>IF(B389="","",M389*N389)</f>
        <v/>
      </c>
      <c r="P389" s="9" t="n"/>
    </row>
    <row r="390">
      <c r="A390" s="15" t="n"/>
      <c r="B390" s="9" t="n"/>
      <c r="C390" s="9" t="n"/>
      <c r="D390" s="9" t="n"/>
      <c r="E390" s="16" t="n"/>
      <c r="F390" s="16" t="n"/>
      <c r="G390" s="16" t="n"/>
      <c r="H390" s="17" t="n"/>
      <c r="I390" s="17" t="n"/>
      <c r="J390" s="9" t="n"/>
      <c r="K390" s="13">
        <f>IF(OR(E390="",F390=""),"",ROUND((MOD(F390-E390,1)-N(G390))*24,2))</f>
        <v/>
      </c>
      <c r="L390" s="13">
        <f>IF(OR(H390="",I390=""),"",I390-H390)</f>
        <v/>
      </c>
      <c r="M390" s="13">
        <f>IF(B390="","",IF(J390="Parado - cliente",IFERROR(INDEX(Equipamentos!$D$5:$D$10,MATCH(B390,Equipamentos!$A$5:$A$10,0)),0),IF(OR(J390="Parado - manutenção",J390="Sem serviço"),0,MAX(N(K390),IFERROR(INDEX(Equipamentos!$D$5:$D$10,MATCH(B390,Equipamentos!$A$5:$A$10,0)),0)))))</f>
        <v/>
      </c>
      <c r="N390" s="14">
        <f>IF(B390="","",IFERROR(INDEX(Equipamentos!$C$5:$C$10,MATCH(B390,Equipamentos!$A$5:$A$10,0)),0))</f>
        <v/>
      </c>
      <c r="O390" s="14">
        <f>IF(B390="","",M390*N390)</f>
        <v/>
      </c>
      <c r="P390" s="9" t="n"/>
    </row>
    <row r="391">
      <c r="A391" s="15" t="n"/>
      <c r="B391" s="9" t="n"/>
      <c r="C391" s="9" t="n"/>
      <c r="D391" s="9" t="n"/>
      <c r="E391" s="16" t="n"/>
      <c r="F391" s="16" t="n"/>
      <c r="G391" s="16" t="n"/>
      <c r="H391" s="17" t="n"/>
      <c r="I391" s="17" t="n"/>
      <c r="J391" s="9" t="n"/>
      <c r="K391" s="13">
        <f>IF(OR(E391="",F391=""),"",ROUND((MOD(F391-E391,1)-N(G391))*24,2))</f>
        <v/>
      </c>
      <c r="L391" s="13">
        <f>IF(OR(H391="",I391=""),"",I391-H391)</f>
        <v/>
      </c>
      <c r="M391" s="13">
        <f>IF(B391="","",IF(J391="Parado - cliente",IFERROR(INDEX(Equipamentos!$D$5:$D$10,MATCH(B391,Equipamentos!$A$5:$A$10,0)),0),IF(OR(J391="Parado - manutenção",J391="Sem serviço"),0,MAX(N(K391),IFERROR(INDEX(Equipamentos!$D$5:$D$10,MATCH(B391,Equipamentos!$A$5:$A$10,0)),0)))))</f>
        <v/>
      </c>
      <c r="N391" s="14">
        <f>IF(B391="","",IFERROR(INDEX(Equipamentos!$C$5:$C$10,MATCH(B391,Equipamentos!$A$5:$A$10,0)),0))</f>
        <v/>
      </c>
      <c r="O391" s="14">
        <f>IF(B391="","",M391*N391)</f>
        <v/>
      </c>
      <c r="P391" s="9" t="n"/>
    </row>
    <row r="392">
      <c r="A392" s="15" t="n"/>
      <c r="B392" s="9" t="n"/>
      <c r="C392" s="9" t="n"/>
      <c r="D392" s="9" t="n"/>
      <c r="E392" s="16" t="n"/>
      <c r="F392" s="16" t="n"/>
      <c r="G392" s="16" t="n"/>
      <c r="H392" s="17" t="n"/>
      <c r="I392" s="17" t="n"/>
      <c r="J392" s="9" t="n"/>
      <c r="K392" s="13">
        <f>IF(OR(E392="",F392=""),"",ROUND((MOD(F392-E392,1)-N(G392))*24,2))</f>
        <v/>
      </c>
      <c r="L392" s="13">
        <f>IF(OR(H392="",I392=""),"",I392-H392)</f>
        <v/>
      </c>
      <c r="M392" s="13">
        <f>IF(B392="","",IF(J392="Parado - cliente",IFERROR(INDEX(Equipamentos!$D$5:$D$10,MATCH(B392,Equipamentos!$A$5:$A$10,0)),0),IF(OR(J392="Parado - manutenção",J392="Sem serviço"),0,MAX(N(K392),IFERROR(INDEX(Equipamentos!$D$5:$D$10,MATCH(B392,Equipamentos!$A$5:$A$10,0)),0)))))</f>
        <v/>
      </c>
      <c r="N392" s="14">
        <f>IF(B392="","",IFERROR(INDEX(Equipamentos!$C$5:$C$10,MATCH(B392,Equipamentos!$A$5:$A$10,0)),0))</f>
        <v/>
      </c>
      <c r="O392" s="14">
        <f>IF(B392="","",M392*N392)</f>
        <v/>
      </c>
      <c r="P392" s="9" t="n"/>
    </row>
    <row r="393">
      <c r="A393" s="15" t="n"/>
      <c r="B393" s="9" t="n"/>
      <c r="C393" s="9" t="n"/>
      <c r="D393" s="9" t="n"/>
      <c r="E393" s="16" t="n"/>
      <c r="F393" s="16" t="n"/>
      <c r="G393" s="16" t="n"/>
      <c r="H393" s="17" t="n"/>
      <c r="I393" s="17" t="n"/>
      <c r="J393" s="9" t="n"/>
      <c r="K393" s="13">
        <f>IF(OR(E393="",F393=""),"",ROUND((MOD(F393-E393,1)-N(G393))*24,2))</f>
        <v/>
      </c>
      <c r="L393" s="13">
        <f>IF(OR(H393="",I393=""),"",I393-H393)</f>
        <v/>
      </c>
      <c r="M393" s="13">
        <f>IF(B393="","",IF(J393="Parado - cliente",IFERROR(INDEX(Equipamentos!$D$5:$D$10,MATCH(B393,Equipamentos!$A$5:$A$10,0)),0),IF(OR(J393="Parado - manutenção",J393="Sem serviço"),0,MAX(N(K393),IFERROR(INDEX(Equipamentos!$D$5:$D$10,MATCH(B393,Equipamentos!$A$5:$A$10,0)),0)))))</f>
        <v/>
      </c>
      <c r="N393" s="14">
        <f>IF(B393="","",IFERROR(INDEX(Equipamentos!$C$5:$C$10,MATCH(B393,Equipamentos!$A$5:$A$10,0)),0))</f>
        <v/>
      </c>
      <c r="O393" s="14">
        <f>IF(B393="","",M393*N393)</f>
        <v/>
      </c>
      <c r="P393" s="9" t="n"/>
    </row>
    <row r="394">
      <c r="A394" s="15" t="n"/>
      <c r="B394" s="9" t="n"/>
      <c r="C394" s="9" t="n"/>
      <c r="D394" s="9" t="n"/>
      <c r="E394" s="16" t="n"/>
      <c r="F394" s="16" t="n"/>
      <c r="G394" s="16" t="n"/>
      <c r="H394" s="17" t="n"/>
      <c r="I394" s="17" t="n"/>
      <c r="J394" s="9" t="n"/>
      <c r="K394" s="13">
        <f>IF(OR(E394="",F394=""),"",ROUND((MOD(F394-E394,1)-N(G394))*24,2))</f>
        <v/>
      </c>
      <c r="L394" s="13">
        <f>IF(OR(H394="",I394=""),"",I394-H394)</f>
        <v/>
      </c>
      <c r="M394" s="13">
        <f>IF(B394="","",IF(J394="Parado - cliente",IFERROR(INDEX(Equipamentos!$D$5:$D$10,MATCH(B394,Equipamentos!$A$5:$A$10,0)),0),IF(OR(J394="Parado - manutenção",J394="Sem serviço"),0,MAX(N(K394),IFERROR(INDEX(Equipamentos!$D$5:$D$10,MATCH(B394,Equipamentos!$A$5:$A$10,0)),0)))))</f>
        <v/>
      </c>
      <c r="N394" s="14">
        <f>IF(B394="","",IFERROR(INDEX(Equipamentos!$C$5:$C$10,MATCH(B394,Equipamentos!$A$5:$A$10,0)),0))</f>
        <v/>
      </c>
      <c r="O394" s="14">
        <f>IF(B394="","",M394*N394)</f>
        <v/>
      </c>
      <c r="P394" s="9" t="n"/>
    </row>
    <row r="395">
      <c r="A395" s="15" t="n"/>
      <c r="B395" s="9" t="n"/>
      <c r="C395" s="9" t="n"/>
      <c r="D395" s="9" t="n"/>
      <c r="E395" s="16" t="n"/>
      <c r="F395" s="16" t="n"/>
      <c r="G395" s="16" t="n"/>
      <c r="H395" s="17" t="n"/>
      <c r="I395" s="17" t="n"/>
      <c r="J395" s="9" t="n"/>
      <c r="K395" s="13">
        <f>IF(OR(E395="",F395=""),"",ROUND((MOD(F395-E395,1)-N(G395))*24,2))</f>
        <v/>
      </c>
      <c r="L395" s="13">
        <f>IF(OR(H395="",I395=""),"",I395-H395)</f>
        <v/>
      </c>
      <c r="M395" s="13">
        <f>IF(B395="","",IF(J395="Parado - cliente",IFERROR(INDEX(Equipamentos!$D$5:$D$10,MATCH(B395,Equipamentos!$A$5:$A$10,0)),0),IF(OR(J395="Parado - manutenção",J395="Sem serviço"),0,MAX(N(K395),IFERROR(INDEX(Equipamentos!$D$5:$D$10,MATCH(B395,Equipamentos!$A$5:$A$10,0)),0)))))</f>
        <v/>
      </c>
      <c r="N395" s="14">
        <f>IF(B395="","",IFERROR(INDEX(Equipamentos!$C$5:$C$10,MATCH(B395,Equipamentos!$A$5:$A$10,0)),0))</f>
        <v/>
      </c>
      <c r="O395" s="14">
        <f>IF(B395="","",M395*N395)</f>
        <v/>
      </c>
      <c r="P395" s="9" t="n"/>
    </row>
    <row r="396">
      <c r="A396" s="15" t="n"/>
      <c r="B396" s="9" t="n"/>
      <c r="C396" s="9" t="n"/>
      <c r="D396" s="9" t="n"/>
      <c r="E396" s="16" t="n"/>
      <c r="F396" s="16" t="n"/>
      <c r="G396" s="16" t="n"/>
      <c r="H396" s="17" t="n"/>
      <c r="I396" s="17" t="n"/>
      <c r="J396" s="9" t="n"/>
      <c r="K396" s="13">
        <f>IF(OR(E396="",F396=""),"",ROUND((MOD(F396-E396,1)-N(G396))*24,2))</f>
        <v/>
      </c>
      <c r="L396" s="13">
        <f>IF(OR(H396="",I396=""),"",I396-H396)</f>
        <v/>
      </c>
      <c r="M396" s="13">
        <f>IF(B396="","",IF(J396="Parado - cliente",IFERROR(INDEX(Equipamentos!$D$5:$D$10,MATCH(B396,Equipamentos!$A$5:$A$10,0)),0),IF(OR(J396="Parado - manutenção",J396="Sem serviço"),0,MAX(N(K396),IFERROR(INDEX(Equipamentos!$D$5:$D$10,MATCH(B396,Equipamentos!$A$5:$A$10,0)),0)))))</f>
        <v/>
      </c>
      <c r="N396" s="14">
        <f>IF(B396="","",IFERROR(INDEX(Equipamentos!$C$5:$C$10,MATCH(B396,Equipamentos!$A$5:$A$10,0)),0))</f>
        <v/>
      </c>
      <c r="O396" s="14">
        <f>IF(B396="","",M396*N396)</f>
        <v/>
      </c>
      <c r="P396" s="9" t="n"/>
    </row>
    <row r="397">
      <c r="A397" s="15" t="n"/>
      <c r="B397" s="9" t="n"/>
      <c r="C397" s="9" t="n"/>
      <c r="D397" s="9" t="n"/>
      <c r="E397" s="16" t="n"/>
      <c r="F397" s="16" t="n"/>
      <c r="G397" s="16" t="n"/>
      <c r="H397" s="17" t="n"/>
      <c r="I397" s="17" t="n"/>
      <c r="J397" s="9" t="n"/>
      <c r="K397" s="13">
        <f>IF(OR(E397="",F397=""),"",ROUND((MOD(F397-E397,1)-N(G397))*24,2))</f>
        <v/>
      </c>
      <c r="L397" s="13">
        <f>IF(OR(H397="",I397=""),"",I397-H397)</f>
        <v/>
      </c>
      <c r="M397" s="13">
        <f>IF(B397="","",IF(J397="Parado - cliente",IFERROR(INDEX(Equipamentos!$D$5:$D$10,MATCH(B397,Equipamentos!$A$5:$A$10,0)),0),IF(OR(J397="Parado - manutenção",J397="Sem serviço"),0,MAX(N(K397),IFERROR(INDEX(Equipamentos!$D$5:$D$10,MATCH(B397,Equipamentos!$A$5:$A$10,0)),0)))))</f>
        <v/>
      </c>
      <c r="N397" s="14">
        <f>IF(B397="","",IFERROR(INDEX(Equipamentos!$C$5:$C$10,MATCH(B397,Equipamentos!$A$5:$A$10,0)),0))</f>
        <v/>
      </c>
      <c r="O397" s="14">
        <f>IF(B397="","",M397*N397)</f>
        <v/>
      </c>
      <c r="P397" s="9" t="n"/>
    </row>
    <row r="398">
      <c r="A398" s="15" t="n"/>
      <c r="B398" s="9" t="n"/>
      <c r="C398" s="9" t="n"/>
      <c r="D398" s="9" t="n"/>
      <c r="E398" s="16" t="n"/>
      <c r="F398" s="16" t="n"/>
      <c r="G398" s="16" t="n"/>
      <c r="H398" s="17" t="n"/>
      <c r="I398" s="17" t="n"/>
      <c r="J398" s="9" t="n"/>
      <c r="K398" s="13">
        <f>IF(OR(E398="",F398=""),"",ROUND((MOD(F398-E398,1)-N(G398))*24,2))</f>
        <v/>
      </c>
      <c r="L398" s="13">
        <f>IF(OR(H398="",I398=""),"",I398-H398)</f>
        <v/>
      </c>
      <c r="M398" s="13">
        <f>IF(B398="","",IF(J398="Parado - cliente",IFERROR(INDEX(Equipamentos!$D$5:$D$10,MATCH(B398,Equipamentos!$A$5:$A$10,0)),0),IF(OR(J398="Parado - manutenção",J398="Sem serviço"),0,MAX(N(K398),IFERROR(INDEX(Equipamentos!$D$5:$D$10,MATCH(B398,Equipamentos!$A$5:$A$10,0)),0)))))</f>
        <v/>
      </c>
      <c r="N398" s="14">
        <f>IF(B398="","",IFERROR(INDEX(Equipamentos!$C$5:$C$10,MATCH(B398,Equipamentos!$A$5:$A$10,0)),0))</f>
        <v/>
      </c>
      <c r="O398" s="14">
        <f>IF(B398="","",M398*N398)</f>
        <v/>
      </c>
      <c r="P398" s="9" t="n"/>
    </row>
    <row r="399">
      <c r="A399" s="15" t="n"/>
      <c r="B399" s="9" t="n"/>
      <c r="C399" s="9" t="n"/>
      <c r="D399" s="9" t="n"/>
      <c r="E399" s="16" t="n"/>
      <c r="F399" s="16" t="n"/>
      <c r="G399" s="16" t="n"/>
      <c r="H399" s="17" t="n"/>
      <c r="I399" s="17" t="n"/>
      <c r="J399" s="9" t="n"/>
      <c r="K399" s="13">
        <f>IF(OR(E399="",F399=""),"",ROUND((MOD(F399-E399,1)-N(G399))*24,2))</f>
        <v/>
      </c>
      <c r="L399" s="13">
        <f>IF(OR(H399="",I399=""),"",I399-H399)</f>
        <v/>
      </c>
      <c r="M399" s="13">
        <f>IF(B399="","",IF(J399="Parado - cliente",IFERROR(INDEX(Equipamentos!$D$5:$D$10,MATCH(B399,Equipamentos!$A$5:$A$10,0)),0),IF(OR(J399="Parado - manutenção",J399="Sem serviço"),0,MAX(N(K399),IFERROR(INDEX(Equipamentos!$D$5:$D$10,MATCH(B399,Equipamentos!$A$5:$A$10,0)),0)))))</f>
        <v/>
      </c>
      <c r="N399" s="14">
        <f>IF(B399="","",IFERROR(INDEX(Equipamentos!$C$5:$C$10,MATCH(B399,Equipamentos!$A$5:$A$10,0)),0))</f>
        <v/>
      </c>
      <c r="O399" s="14">
        <f>IF(B399="","",M399*N399)</f>
        <v/>
      </c>
      <c r="P399" s="9" t="n"/>
    </row>
    <row r="400">
      <c r="A400" s="15" t="n"/>
      <c r="B400" s="9" t="n"/>
      <c r="C400" s="9" t="n"/>
      <c r="D400" s="9" t="n"/>
      <c r="E400" s="16" t="n"/>
      <c r="F400" s="16" t="n"/>
      <c r="G400" s="16" t="n"/>
      <c r="H400" s="17" t="n"/>
      <c r="I400" s="17" t="n"/>
      <c r="J400" s="9" t="n"/>
      <c r="K400" s="13">
        <f>IF(OR(E400="",F400=""),"",ROUND((MOD(F400-E400,1)-N(G400))*24,2))</f>
        <v/>
      </c>
      <c r="L400" s="13">
        <f>IF(OR(H400="",I400=""),"",I400-H400)</f>
        <v/>
      </c>
      <c r="M400" s="13">
        <f>IF(B400="","",IF(J400="Parado - cliente",IFERROR(INDEX(Equipamentos!$D$5:$D$10,MATCH(B400,Equipamentos!$A$5:$A$10,0)),0),IF(OR(J400="Parado - manutenção",J400="Sem serviço"),0,MAX(N(K400),IFERROR(INDEX(Equipamentos!$D$5:$D$10,MATCH(B400,Equipamentos!$A$5:$A$10,0)),0)))))</f>
        <v/>
      </c>
      <c r="N400" s="14">
        <f>IF(B400="","",IFERROR(INDEX(Equipamentos!$C$5:$C$10,MATCH(B400,Equipamentos!$A$5:$A$10,0)),0))</f>
        <v/>
      </c>
      <c r="O400" s="14">
        <f>IF(B400="","",M400*N400)</f>
        <v/>
      </c>
      <c r="P400" s="9" t="n"/>
    </row>
    <row r="401">
      <c r="A401" s="15" t="n"/>
      <c r="B401" s="9" t="n"/>
      <c r="C401" s="9" t="n"/>
      <c r="D401" s="9" t="n"/>
      <c r="E401" s="16" t="n"/>
      <c r="F401" s="16" t="n"/>
      <c r="G401" s="16" t="n"/>
      <c r="H401" s="17" t="n"/>
      <c r="I401" s="17" t="n"/>
      <c r="J401" s="9" t="n"/>
      <c r="K401" s="13">
        <f>IF(OR(E401="",F401=""),"",ROUND((MOD(F401-E401,1)-N(G401))*24,2))</f>
        <v/>
      </c>
      <c r="L401" s="13">
        <f>IF(OR(H401="",I401=""),"",I401-H401)</f>
        <v/>
      </c>
      <c r="M401" s="13">
        <f>IF(B401="","",IF(J401="Parado - cliente",IFERROR(INDEX(Equipamentos!$D$5:$D$10,MATCH(B401,Equipamentos!$A$5:$A$10,0)),0),IF(OR(J401="Parado - manutenção",J401="Sem serviço"),0,MAX(N(K401),IFERROR(INDEX(Equipamentos!$D$5:$D$10,MATCH(B401,Equipamentos!$A$5:$A$10,0)),0)))))</f>
        <v/>
      </c>
      <c r="N401" s="14">
        <f>IF(B401="","",IFERROR(INDEX(Equipamentos!$C$5:$C$10,MATCH(B401,Equipamentos!$A$5:$A$10,0)),0))</f>
        <v/>
      </c>
      <c r="O401" s="14">
        <f>IF(B401="","",M401*N401)</f>
        <v/>
      </c>
      <c r="P401" s="9" t="n"/>
    </row>
    <row r="402">
      <c r="A402" s="15" t="n"/>
      <c r="B402" s="9" t="n"/>
      <c r="C402" s="9" t="n"/>
      <c r="D402" s="9" t="n"/>
      <c r="E402" s="16" t="n"/>
      <c r="F402" s="16" t="n"/>
      <c r="G402" s="16" t="n"/>
      <c r="H402" s="17" t="n"/>
      <c r="I402" s="17" t="n"/>
      <c r="J402" s="9" t="n"/>
      <c r="K402" s="13">
        <f>IF(OR(E402="",F402=""),"",ROUND((MOD(F402-E402,1)-N(G402))*24,2))</f>
        <v/>
      </c>
      <c r="L402" s="13">
        <f>IF(OR(H402="",I402=""),"",I402-H402)</f>
        <v/>
      </c>
      <c r="M402" s="13">
        <f>IF(B402="","",IF(J402="Parado - cliente",IFERROR(INDEX(Equipamentos!$D$5:$D$10,MATCH(B402,Equipamentos!$A$5:$A$10,0)),0),IF(OR(J402="Parado - manutenção",J402="Sem serviço"),0,MAX(N(K402),IFERROR(INDEX(Equipamentos!$D$5:$D$10,MATCH(B402,Equipamentos!$A$5:$A$10,0)),0)))))</f>
        <v/>
      </c>
      <c r="N402" s="14">
        <f>IF(B402="","",IFERROR(INDEX(Equipamentos!$C$5:$C$10,MATCH(B402,Equipamentos!$A$5:$A$10,0)),0))</f>
        <v/>
      </c>
      <c r="O402" s="14">
        <f>IF(B402="","",M402*N402)</f>
        <v/>
      </c>
      <c r="P402" s="9" t="n"/>
    </row>
    <row r="403">
      <c r="A403" s="15" t="n"/>
      <c r="B403" s="9" t="n"/>
      <c r="C403" s="9" t="n"/>
      <c r="D403" s="9" t="n"/>
      <c r="E403" s="16" t="n"/>
      <c r="F403" s="16" t="n"/>
      <c r="G403" s="16" t="n"/>
      <c r="H403" s="17" t="n"/>
      <c r="I403" s="17" t="n"/>
      <c r="J403" s="9" t="n"/>
      <c r="K403" s="13">
        <f>IF(OR(E403="",F403=""),"",ROUND((MOD(F403-E403,1)-N(G403))*24,2))</f>
        <v/>
      </c>
      <c r="L403" s="13">
        <f>IF(OR(H403="",I403=""),"",I403-H403)</f>
        <v/>
      </c>
      <c r="M403" s="13">
        <f>IF(B403="","",IF(J403="Parado - cliente",IFERROR(INDEX(Equipamentos!$D$5:$D$10,MATCH(B403,Equipamentos!$A$5:$A$10,0)),0),IF(OR(J403="Parado - manutenção",J403="Sem serviço"),0,MAX(N(K403),IFERROR(INDEX(Equipamentos!$D$5:$D$10,MATCH(B403,Equipamentos!$A$5:$A$10,0)),0)))))</f>
        <v/>
      </c>
      <c r="N403" s="14">
        <f>IF(B403="","",IFERROR(INDEX(Equipamentos!$C$5:$C$10,MATCH(B403,Equipamentos!$A$5:$A$10,0)),0))</f>
        <v/>
      </c>
      <c r="O403" s="14">
        <f>IF(B403="","",M403*N403)</f>
        <v/>
      </c>
      <c r="P403" s="9" t="n"/>
    </row>
    <row r="404">
      <c r="A404" s="15" t="n"/>
      <c r="B404" s="9" t="n"/>
      <c r="C404" s="9" t="n"/>
      <c r="D404" s="9" t="n"/>
      <c r="E404" s="16" t="n"/>
      <c r="F404" s="16" t="n"/>
      <c r="G404" s="16" t="n"/>
      <c r="H404" s="17" t="n"/>
      <c r="I404" s="17" t="n"/>
      <c r="J404" s="9" t="n"/>
      <c r="K404" s="13">
        <f>IF(OR(E404="",F404=""),"",ROUND((MOD(F404-E404,1)-N(G404))*24,2))</f>
        <v/>
      </c>
      <c r="L404" s="13">
        <f>IF(OR(H404="",I404=""),"",I404-H404)</f>
        <v/>
      </c>
      <c r="M404" s="13">
        <f>IF(B404="","",IF(J404="Parado - cliente",IFERROR(INDEX(Equipamentos!$D$5:$D$10,MATCH(B404,Equipamentos!$A$5:$A$10,0)),0),IF(OR(J404="Parado - manutenção",J404="Sem serviço"),0,MAX(N(K404),IFERROR(INDEX(Equipamentos!$D$5:$D$10,MATCH(B404,Equipamentos!$A$5:$A$10,0)),0)))))</f>
        <v/>
      </c>
      <c r="N404" s="14">
        <f>IF(B404="","",IFERROR(INDEX(Equipamentos!$C$5:$C$10,MATCH(B404,Equipamentos!$A$5:$A$10,0)),0))</f>
        <v/>
      </c>
      <c r="O404" s="14">
        <f>IF(B404="","",M404*N404)</f>
        <v/>
      </c>
      <c r="P404" s="9" t="n"/>
    </row>
    <row r="405">
      <c r="A405" s="15" t="n"/>
      <c r="B405" s="9" t="n"/>
      <c r="C405" s="9" t="n"/>
      <c r="D405" s="9" t="n"/>
      <c r="E405" s="16" t="n"/>
      <c r="F405" s="16" t="n"/>
      <c r="G405" s="16" t="n"/>
      <c r="H405" s="17" t="n"/>
      <c r="I405" s="17" t="n"/>
      <c r="J405" s="9" t="n"/>
      <c r="K405" s="13">
        <f>IF(OR(E405="",F405=""),"",ROUND((MOD(F405-E405,1)-N(G405))*24,2))</f>
        <v/>
      </c>
      <c r="L405" s="13">
        <f>IF(OR(H405="",I405=""),"",I405-H405)</f>
        <v/>
      </c>
      <c r="M405" s="13">
        <f>IF(B405="","",IF(J405="Parado - cliente",IFERROR(INDEX(Equipamentos!$D$5:$D$10,MATCH(B405,Equipamentos!$A$5:$A$10,0)),0),IF(OR(J405="Parado - manutenção",J405="Sem serviço"),0,MAX(N(K405),IFERROR(INDEX(Equipamentos!$D$5:$D$10,MATCH(B405,Equipamentos!$A$5:$A$10,0)),0)))))</f>
        <v/>
      </c>
      <c r="N405" s="14">
        <f>IF(B405="","",IFERROR(INDEX(Equipamentos!$C$5:$C$10,MATCH(B405,Equipamentos!$A$5:$A$10,0)),0))</f>
        <v/>
      </c>
      <c r="O405" s="14">
        <f>IF(B405="","",M405*N405)</f>
        <v/>
      </c>
      <c r="P405" s="9" t="n"/>
    </row>
    <row r="406">
      <c r="A406" s="15" t="n"/>
      <c r="B406" s="9" t="n"/>
      <c r="C406" s="9" t="n"/>
      <c r="D406" s="9" t="n"/>
      <c r="E406" s="16" t="n"/>
      <c r="F406" s="16" t="n"/>
      <c r="G406" s="16" t="n"/>
      <c r="H406" s="17" t="n"/>
      <c r="I406" s="17" t="n"/>
      <c r="J406" s="9" t="n"/>
      <c r="K406" s="13">
        <f>IF(OR(E406="",F406=""),"",ROUND((MOD(F406-E406,1)-N(G406))*24,2))</f>
        <v/>
      </c>
      <c r="L406" s="13">
        <f>IF(OR(H406="",I406=""),"",I406-H406)</f>
        <v/>
      </c>
      <c r="M406" s="13">
        <f>IF(B406="","",IF(J406="Parado - cliente",IFERROR(INDEX(Equipamentos!$D$5:$D$10,MATCH(B406,Equipamentos!$A$5:$A$10,0)),0),IF(OR(J406="Parado - manutenção",J406="Sem serviço"),0,MAX(N(K406),IFERROR(INDEX(Equipamentos!$D$5:$D$10,MATCH(B406,Equipamentos!$A$5:$A$10,0)),0)))))</f>
        <v/>
      </c>
      <c r="N406" s="14">
        <f>IF(B406="","",IFERROR(INDEX(Equipamentos!$C$5:$C$10,MATCH(B406,Equipamentos!$A$5:$A$10,0)),0))</f>
        <v/>
      </c>
      <c r="O406" s="14">
        <f>IF(B406="","",M406*N406)</f>
        <v/>
      </c>
      <c r="P406" s="9" t="n"/>
    </row>
    <row r="407">
      <c r="A407" s="15" t="n"/>
      <c r="B407" s="9" t="n"/>
      <c r="C407" s="9" t="n"/>
      <c r="D407" s="9" t="n"/>
      <c r="E407" s="16" t="n"/>
      <c r="F407" s="16" t="n"/>
      <c r="G407" s="16" t="n"/>
      <c r="H407" s="17" t="n"/>
      <c r="I407" s="17" t="n"/>
      <c r="J407" s="9" t="n"/>
      <c r="K407" s="13">
        <f>IF(OR(E407="",F407=""),"",ROUND((MOD(F407-E407,1)-N(G407))*24,2))</f>
        <v/>
      </c>
      <c r="L407" s="13">
        <f>IF(OR(H407="",I407=""),"",I407-H407)</f>
        <v/>
      </c>
      <c r="M407" s="13">
        <f>IF(B407="","",IF(J407="Parado - cliente",IFERROR(INDEX(Equipamentos!$D$5:$D$10,MATCH(B407,Equipamentos!$A$5:$A$10,0)),0),IF(OR(J407="Parado - manutenção",J407="Sem serviço"),0,MAX(N(K407),IFERROR(INDEX(Equipamentos!$D$5:$D$10,MATCH(B407,Equipamentos!$A$5:$A$10,0)),0)))))</f>
        <v/>
      </c>
      <c r="N407" s="14">
        <f>IF(B407="","",IFERROR(INDEX(Equipamentos!$C$5:$C$10,MATCH(B407,Equipamentos!$A$5:$A$10,0)),0))</f>
        <v/>
      </c>
      <c r="O407" s="14">
        <f>IF(B407="","",M407*N407)</f>
        <v/>
      </c>
      <c r="P407" s="9" t="n"/>
    </row>
    <row r="408">
      <c r="A408" s="15" t="n"/>
      <c r="B408" s="9" t="n"/>
      <c r="C408" s="9" t="n"/>
      <c r="D408" s="9" t="n"/>
      <c r="E408" s="16" t="n"/>
      <c r="F408" s="16" t="n"/>
      <c r="G408" s="16" t="n"/>
      <c r="H408" s="17" t="n"/>
      <c r="I408" s="17" t="n"/>
      <c r="J408" s="9" t="n"/>
      <c r="K408" s="13">
        <f>IF(OR(E408="",F408=""),"",ROUND((MOD(F408-E408,1)-N(G408))*24,2))</f>
        <v/>
      </c>
      <c r="L408" s="13">
        <f>IF(OR(H408="",I408=""),"",I408-H408)</f>
        <v/>
      </c>
      <c r="M408" s="13">
        <f>IF(B408="","",IF(J408="Parado - cliente",IFERROR(INDEX(Equipamentos!$D$5:$D$10,MATCH(B408,Equipamentos!$A$5:$A$10,0)),0),IF(OR(J408="Parado - manutenção",J408="Sem serviço"),0,MAX(N(K408),IFERROR(INDEX(Equipamentos!$D$5:$D$10,MATCH(B408,Equipamentos!$A$5:$A$10,0)),0)))))</f>
        <v/>
      </c>
      <c r="N408" s="14">
        <f>IF(B408="","",IFERROR(INDEX(Equipamentos!$C$5:$C$10,MATCH(B408,Equipamentos!$A$5:$A$10,0)),0))</f>
        <v/>
      </c>
      <c r="O408" s="14">
        <f>IF(B408="","",M408*N408)</f>
        <v/>
      </c>
      <c r="P408" s="9" t="n"/>
    </row>
    <row r="409">
      <c r="A409" s="15" t="n"/>
      <c r="B409" s="9" t="n"/>
      <c r="C409" s="9" t="n"/>
      <c r="D409" s="9" t="n"/>
      <c r="E409" s="16" t="n"/>
      <c r="F409" s="16" t="n"/>
      <c r="G409" s="16" t="n"/>
      <c r="H409" s="17" t="n"/>
      <c r="I409" s="17" t="n"/>
      <c r="J409" s="9" t="n"/>
      <c r="K409" s="13">
        <f>IF(OR(E409="",F409=""),"",ROUND((MOD(F409-E409,1)-N(G409))*24,2))</f>
        <v/>
      </c>
      <c r="L409" s="13">
        <f>IF(OR(H409="",I409=""),"",I409-H409)</f>
        <v/>
      </c>
      <c r="M409" s="13">
        <f>IF(B409="","",IF(J409="Parado - cliente",IFERROR(INDEX(Equipamentos!$D$5:$D$10,MATCH(B409,Equipamentos!$A$5:$A$10,0)),0),IF(OR(J409="Parado - manutenção",J409="Sem serviço"),0,MAX(N(K409),IFERROR(INDEX(Equipamentos!$D$5:$D$10,MATCH(B409,Equipamentos!$A$5:$A$10,0)),0)))))</f>
        <v/>
      </c>
      <c r="N409" s="14">
        <f>IF(B409="","",IFERROR(INDEX(Equipamentos!$C$5:$C$10,MATCH(B409,Equipamentos!$A$5:$A$10,0)),0))</f>
        <v/>
      </c>
      <c r="O409" s="14">
        <f>IF(B409="","",M409*N409)</f>
        <v/>
      </c>
      <c r="P409" s="9" t="n"/>
    </row>
    <row r="410">
      <c r="A410" s="15" t="n"/>
      <c r="B410" s="9" t="n"/>
      <c r="C410" s="9" t="n"/>
      <c r="D410" s="9" t="n"/>
      <c r="E410" s="16" t="n"/>
      <c r="F410" s="16" t="n"/>
      <c r="G410" s="16" t="n"/>
      <c r="H410" s="17" t="n"/>
      <c r="I410" s="17" t="n"/>
      <c r="J410" s="9" t="n"/>
      <c r="K410" s="13">
        <f>IF(OR(E410="",F410=""),"",ROUND((MOD(F410-E410,1)-N(G410))*24,2))</f>
        <v/>
      </c>
      <c r="L410" s="13">
        <f>IF(OR(H410="",I410=""),"",I410-H410)</f>
        <v/>
      </c>
      <c r="M410" s="13">
        <f>IF(B410="","",IF(J410="Parado - cliente",IFERROR(INDEX(Equipamentos!$D$5:$D$10,MATCH(B410,Equipamentos!$A$5:$A$10,0)),0),IF(OR(J410="Parado - manutenção",J410="Sem serviço"),0,MAX(N(K410),IFERROR(INDEX(Equipamentos!$D$5:$D$10,MATCH(B410,Equipamentos!$A$5:$A$10,0)),0)))))</f>
        <v/>
      </c>
      <c r="N410" s="14">
        <f>IF(B410="","",IFERROR(INDEX(Equipamentos!$C$5:$C$10,MATCH(B410,Equipamentos!$A$5:$A$10,0)),0))</f>
        <v/>
      </c>
      <c r="O410" s="14">
        <f>IF(B410="","",M410*N410)</f>
        <v/>
      </c>
      <c r="P410" s="9" t="n"/>
    </row>
    <row r="411">
      <c r="A411" s="15" t="n"/>
      <c r="B411" s="9" t="n"/>
      <c r="C411" s="9" t="n"/>
      <c r="D411" s="9" t="n"/>
      <c r="E411" s="16" t="n"/>
      <c r="F411" s="16" t="n"/>
      <c r="G411" s="16" t="n"/>
      <c r="H411" s="17" t="n"/>
      <c r="I411" s="17" t="n"/>
      <c r="J411" s="9" t="n"/>
      <c r="K411" s="13">
        <f>IF(OR(E411="",F411=""),"",ROUND((MOD(F411-E411,1)-N(G411))*24,2))</f>
        <v/>
      </c>
      <c r="L411" s="13">
        <f>IF(OR(H411="",I411=""),"",I411-H411)</f>
        <v/>
      </c>
      <c r="M411" s="13">
        <f>IF(B411="","",IF(J411="Parado - cliente",IFERROR(INDEX(Equipamentos!$D$5:$D$10,MATCH(B411,Equipamentos!$A$5:$A$10,0)),0),IF(OR(J411="Parado - manutenção",J411="Sem serviço"),0,MAX(N(K411),IFERROR(INDEX(Equipamentos!$D$5:$D$10,MATCH(B411,Equipamentos!$A$5:$A$10,0)),0)))))</f>
        <v/>
      </c>
      <c r="N411" s="14">
        <f>IF(B411="","",IFERROR(INDEX(Equipamentos!$C$5:$C$10,MATCH(B411,Equipamentos!$A$5:$A$10,0)),0))</f>
        <v/>
      </c>
      <c r="O411" s="14">
        <f>IF(B411="","",M411*N411)</f>
        <v/>
      </c>
      <c r="P411" s="9" t="n"/>
    </row>
    <row r="412">
      <c r="A412" s="15" t="n"/>
      <c r="B412" s="9" t="n"/>
      <c r="C412" s="9" t="n"/>
      <c r="D412" s="9" t="n"/>
      <c r="E412" s="16" t="n"/>
      <c r="F412" s="16" t="n"/>
      <c r="G412" s="16" t="n"/>
      <c r="H412" s="17" t="n"/>
      <c r="I412" s="17" t="n"/>
      <c r="J412" s="9" t="n"/>
      <c r="K412" s="13">
        <f>IF(OR(E412="",F412=""),"",ROUND((MOD(F412-E412,1)-N(G412))*24,2))</f>
        <v/>
      </c>
      <c r="L412" s="13">
        <f>IF(OR(H412="",I412=""),"",I412-H412)</f>
        <v/>
      </c>
      <c r="M412" s="13">
        <f>IF(B412="","",IF(J412="Parado - cliente",IFERROR(INDEX(Equipamentos!$D$5:$D$10,MATCH(B412,Equipamentos!$A$5:$A$10,0)),0),IF(OR(J412="Parado - manutenção",J412="Sem serviço"),0,MAX(N(K412),IFERROR(INDEX(Equipamentos!$D$5:$D$10,MATCH(B412,Equipamentos!$A$5:$A$10,0)),0)))))</f>
        <v/>
      </c>
      <c r="N412" s="14">
        <f>IF(B412="","",IFERROR(INDEX(Equipamentos!$C$5:$C$10,MATCH(B412,Equipamentos!$A$5:$A$10,0)),0))</f>
        <v/>
      </c>
      <c r="O412" s="14">
        <f>IF(B412="","",M412*N412)</f>
        <v/>
      </c>
      <c r="P412" s="9" t="n"/>
    </row>
    <row r="413">
      <c r="A413" s="15" t="n"/>
      <c r="B413" s="9" t="n"/>
      <c r="C413" s="9" t="n"/>
      <c r="D413" s="9" t="n"/>
      <c r="E413" s="16" t="n"/>
      <c r="F413" s="16" t="n"/>
      <c r="G413" s="16" t="n"/>
      <c r="H413" s="17" t="n"/>
      <c r="I413" s="17" t="n"/>
      <c r="J413" s="9" t="n"/>
      <c r="K413" s="13">
        <f>IF(OR(E413="",F413=""),"",ROUND((MOD(F413-E413,1)-N(G413))*24,2))</f>
        <v/>
      </c>
      <c r="L413" s="13">
        <f>IF(OR(H413="",I413=""),"",I413-H413)</f>
        <v/>
      </c>
      <c r="M413" s="13">
        <f>IF(B413="","",IF(J413="Parado - cliente",IFERROR(INDEX(Equipamentos!$D$5:$D$10,MATCH(B413,Equipamentos!$A$5:$A$10,0)),0),IF(OR(J413="Parado - manutenção",J413="Sem serviço"),0,MAX(N(K413),IFERROR(INDEX(Equipamentos!$D$5:$D$10,MATCH(B413,Equipamentos!$A$5:$A$10,0)),0)))))</f>
        <v/>
      </c>
      <c r="N413" s="14">
        <f>IF(B413="","",IFERROR(INDEX(Equipamentos!$C$5:$C$10,MATCH(B413,Equipamentos!$A$5:$A$10,0)),0))</f>
        <v/>
      </c>
      <c r="O413" s="14">
        <f>IF(B413="","",M413*N413)</f>
        <v/>
      </c>
      <c r="P413" s="9" t="n"/>
    </row>
    <row r="414">
      <c r="A414" s="15" t="n"/>
      <c r="B414" s="9" t="n"/>
      <c r="C414" s="9" t="n"/>
      <c r="D414" s="9" t="n"/>
      <c r="E414" s="16" t="n"/>
      <c r="F414" s="16" t="n"/>
      <c r="G414" s="16" t="n"/>
      <c r="H414" s="17" t="n"/>
      <c r="I414" s="17" t="n"/>
      <c r="J414" s="9" t="n"/>
      <c r="K414" s="13">
        <f>IF(OR(E414="",F414=""),"",ROUND((MOD(F414-E414,1)-N(G414))*24,2))</f>
        <v/>
      </c>
      <c r="L414" s="13">
        <f>IF(OR(H414="",I414=""),"",I414-H414)</f>
        <v/>
      </c>
      <c r="M414" s="13">
        <f>IF(B414="","",IF(J414="Parado - cliente",IFERROR(INDEX(Equipamentos!$D$5:$D$10,MATCH(B414,Equipamentos!$A$5:$A$10,0)),0),IF(OR(J414="Parado - manutenção",J414="Sem serviço"),0,MAX(N(K414),IFERROR(INDEX(Equipamentos!$D$5:$D$10,MATCH(B414,Equipamentos!$A$5:$A$10,0)),0)))))</f>
        <v/>
      </c>
      <c r="N414" s="14">
        <f>IF(B414="","",IFERROR(INDEX(Equipamentos!$C$5:$C$10,MATCH(B414,Equipamentos!$A$5:$A$10,0)),0))</f>
        <v/>
      </c>
      <c r="O414" s="14">
        <f>IF(B414="","",M414*N414)</f>
        <v/>
      </c>
      <c r="P414" s="9" t="n"/>
    </row>
    <row r="415">
      <c r="A415" s="15" t="n"/>
      <c r="B415" s="9" t="n"/>
      <c r="C415" s="9" t="n"/>
      <c r="D415" s="9" t="n"/>
      <c r="E415" s="16" t="n"/>
      <c r="F415" s="16" t="n"/>
      <c r="G415" s="16" t="n"/>
      <c r="H415" s="17" t="n"/>
      <c r="I415" s="17" t="n"/>
      <c r="J415" s="9" t="n"/>
      <c r="K415" s="13">
        <f>IF(OR(E415="",F415=""),"",ROUND((MOD(F415-E415,1)-N(G415))*24,2))</f>
        <v/>
      </c>
      <c r="L415" s="13">
        <f>IF(OR(H415="",I415=""),"",I415-H415)</f>
        <v/>
      </c>
      <c r="M415" s="13">
        <f>IF(B415="","",IF(J415="Parado - cliente",IFERROR(INDEX(Equipamentos!$D$5:$D$10,MATCH(B415,Equipamentos!$A$5:$A$10,0)),0),IF(OR(J415="Parado - manutenção",J415="Sem serviço"),0,MAX(N(K415),IFERROR(INDEX(Equipamentos!$D$5:$D$10,MATCH(B415,Equipamentos!$A$5:$A$10,0)),0)))))</f>
        <v/>
      </c>
      <c r="N415" s="14">
        <f>IF(B415="","",IFERROR(INDEX(Equipamentos!$C$5:$C$10,MATCH(B415,Equipamentos!$A$5:$A$10,0)),0))</f>
        <v/>
      </c>
      <c r="O415" s="14">
        <f>IF(B415="","",M415*N415)</f>
        <v/>
      </c>
      <c r="P415" s="9" t="n"/>
    </row>
    <row r="416">
      <c r="A416" s="15" t="n"/>
      <c r="B416" s="9" t="n"/>
      <c r="C416" s="9" t="n"/>
      <c r="D416" s="9" t="n"/>
      <c r="E416" s="16" t="n"/>
      <c r="F416" s="16" t="n"/>
      <c r="G416" s="16" t="n"/>
      <c r="H416" s="17" t="n"/>
      <c r="I416" s="17" t="n"/>
      <c r="J416" s="9" t="n"/>
      <c r="K416" s="13">
        <f>IF(OR(E416="",F416=""),"",ROUND((MOD(F416-E416,1)-N(G416))*24,2))</f>
        <v/>
      </c>
      <c r="L416" s="13">
        <f>IF(OR(H416="",I416=""),"",I416-H416)</f>
        <v/>
      </c>
      <c r="M416" s="13">
        <f>IF(B416="","",IF(J416="Parado - cliente",IFERROR(INDEX(Equipamentos!$D$5:$D$10,MATCH(B416,Equipamentos!$A$5:$A$10,0)),0),IF(OR(J416="Parado - manutenção",J416="Sem serviço"),0,MAX(N(K416),IFERROR(INDEX(Equipamentos!$D$5:$D$10,MATCH(B416,Equipamentos!$A$5:$A$10,0)),0)))))</f>
        <v/>
      </c>
      <c r="N416" s="14">
        <f>IF(B416="","",IFERROR(INDEX(Equipamentos!$C$5:$C$10,MATCH(B416,Equipamentos!$A$5:$A$10,0)),0))</f>
        <v/>
      </c>
      <c r="O416" s="14">
        <f>IF(B416="","",M416*N416)</f>
        <v/>
      </c>
      <c r="P416" s="9" t="n"/>
    </row>
    <row r="417">
      <c r="A417" s="15" t="n"/>
      <c r="B417" s="9" t="n"/>
      <c r="C417" s="9" t="n"/>
      <c r="D417" s="9" t="n"/>
      <c r="E417" s="16" t="n"/>
      <c r="F417" s="16" t="n"/>
      <c r="G417" s="16" t="n"/>
      <c r="H417" s="17" t="n"/>
      <c r="I417" s="17" t="n"/>
      <c r="J417" s="9" t="n"/>
      <c r="K417" s="13">
        <f>IF(OR(E417="",F417=""),"",ROUND((MOD(F417-E417,1)-N(G417))*24,2))</f>
        <v/>
      </c>
      <c r="L417" s="13">
        <f>IF(OR(H417="",I417=""),"",I417-H417)</f>
        <v/>
      </c>
      <c r="M417" s="13">
        <f>IF(B417="","",IF(J417="Parado - cliente",IFERROR(INDEX(Equipamentos!$D$5:$D$10,MATCH(B417,Equipamentos!$A$5:$A$10,0)),0),IF(OR(J417="Parado - manutenção",J417="Sem serviço"),0,MAX(N(K417),IFERROR(INDEX(Equipamentos!$D$5:$D$10,MATCH(B417,Equipamentos!$A$5:$A$10,0)),0)))))</f>
        <v/>
      </c>
      <c r="N417" s="14">
        <f>IF(B417="","",IFERROR(INDEX(Equipamentos!$C$5:$C$10,MATCH(B417,Equipamentos!$A$5:$A$10,0)),0))</f>
        <v/>
      </c>
      <c r="O417" s="14">
        <f>IF(B417="","",M417*N417)</f>
        <v/>
      </c>
      <c r="P417" s="9" t="n"/>
    </row>
    <row r="418">
      <c r="A418" s="15" t="n"/>
      <c r="B418" s="9" t="n"/>
      <c r="C418" s="9" t="n"/>
      <c r="D418" s="9" t="n"/>
      <c r="E418" s="16" t="n"/>
      <c r="F418" s="16" t="n"/>
      <c r="G418" s="16" t="n"/>
      <c r="H418" s="17" t="n"/>
      <c r="I418" s="17" t="n"/>
      <c r="J418" s="9" t="n"/>
      <c r="K418" s="13">
        <f>IF(OR(E418="",F418=""),"",ROUND((MOD(F418-E418,1)-N(G418))*24,2))</f>
        <v/>
      </c>
      <c r="L418" s="13">
        <f>IF(OR(H418="",I418=""),"",I418-H418)</f>
        <v/>
      </c>
      <c r="M418" s="13">
        <f>IF(B418="","",IF(J418="Parado - cliente",IFERROR(INDEX(Equipamentos!$D$5:$D$10,MATCH(B418,Equipamentos!$A$5:$A$10,0)),0),IF(OR(J418="Parado - manutenção",J418="Sem serviço"),0,MAX(N(K418),IFERROR(INDEX(Equipamentos!$D$5:$D$10,MATCH(B418,Equipamentos!$A$5:$A$10,0)),0)))))</f>
        <v/>
      </c>
      <c r="N418" s="14">
        <f>IF(B418="","",IFERROR(INDEX(Equipamentos!$C$5:$C$10,MATCH(B418,Equipamentos!$A$5:$A$10,0)),0))</f>
        <v/>
      </c>
      <c r="O418" s="14">
        <f>IF(B418="","",M418*N418)</f>
        <v/>
      </c>
      <c r="P418" s="9" t="n"/>
    </row>
    <row r="419">
      <c r="A419" s="15" t="n"/>
      <c r="B419" s="9" t="n"/>
      <c r="C419" s="9" t="n"/>
      <c r="D419" s="9" t="n"/>
      <c r="E419" s="16" t="n"/>
      <c r="F419" s="16" t="n"/>
      <c r="G419" s="16" t="n"/>
      <c r="H419" s="17" t="n"/>
      <c r="I419" s="17" t="n"/>
      <c r="J419" s="9" t="n"/>
      <c r="K419" s="13">
        <f>IF(OR(E419="",F419=""),"",ROUND((MOD(F419-E419,1)-N(G419))*24,2))</f>
        <v/>
      </c>
      <c r="L419" s="13">
        <f>IF(OR(H419="",I419=""),"",I419-H419)</f>
        <v/>
      </c>
      <c r="M419" s="13">
        <f>IF(B419="","",IF(J419="Parado - cliente",IFERROR(INDEX(Equipamentos!$D$5:$D$10,MATCH(B419,Equipamentos!$A$5:$A$10,0)),0),IF(OR(J419="Parado - manutenção",J419="Sem serviço"),0,MAX(N(K419),IFERROR(INDEX(Equipamentos!$D$5:$D$10,MATCH(B419,Equipamentos!$A$5:$A$10,0)),0)))))</f>
        <v/>
      </c>
      <c r="N419" s="14">
        <f>IF(B419="","",IFERROR(INDEX(Equipamentos!$C$5:$C$10,MATCH(B419,Equipamentos!$A$5:$A$10,0)),0))</f>
        <v/>
      </c>
      <c r="O419" s="14">
        <f>IF(B419="","",M419*N419)</f>
        <v/>
      </c>
      <c r="P419" s="9" t="n"/>
    </row>
    <row r="420">
      <c r="A420" s="15" t="n"/>
      <c r="B420" s="9" t="n"/>
      <c r="C420" s="9" t="n"/>
      <c r="D420" s="9" t="n"/>
      <c r="E420" s="16" t="n"/>
      <c r="F420" s="16" t="n"/>
      <c r="G420" s="16" t="n"/>
      <c r="H420" s="17" t="n"/>
      <c r="I420" s="17" t="n"/>
      <c r="J420" s="9" t="n"/>
      <c r="K420" s="13">
        <f>IF(OR(E420="",F420=""),"",ROUND((MOD(F420-E420,1)-N(G420))*24,2))</f>
        <v/>
      </c>
      <c r="L420" s="13">
        <f>IF(OR(H420="",I420=""),"",I420-H420)</f>
        <v/>
      </c>
      <c r="M420" s="13">
        <f>IF(B420="","",IF(J420="Parado - cliente",IFERROR(INDEX(Equipamentos!$D$5:$D$10,MATCH(B420,Equipamentos!$A$5:$A$10,0)),0),IF(OR(J420="Parado - manutenção",J420="Sem serviço"),0,MAX(N(K420),IFERROR(INDEX(Equipamentos!$D$5:$D$10,MATCH(B420,Equipamentos!$A$5:$A$10,0)),0)))))</f>
        <v/>
      </c>
      <c r="N420" s="14">
        <f>IF(B420="","",IFERROR(INDEX(Equipamentos!$C$5:$C$10,MATCH(B420,Equipamentos!$A$5:$A$10,0)),0))</f>
        <v/>
      </c>
      <c r="O420" s="14">
        <f>IF(B420="","",M420*N420)</f>
        <v/>
      </c>
      <c r="P420" s="9" t="n"/>
    </row>
    <row r="421">
      <c r="A421" s="15" t="n"/>
      <c r="B421" s="9" t="n"/>
      <c r="C421" s="9" t="n"/>
      <c r="D421" s="9" t="n"/>
      <c r="E421" s="16" t="n"/>
      <c r="F421" s="16" t="n"/>
      <c r="G421" s="16" t="n"/>
      <c r="H421" s="17" t="n"/>
      <c r="I421" s="17" t="n"/>
      <c r="J421" s="9" t="n"/>
      <c r="K421" s="13">
        <f>IF(OR(E421="",F421=""),"",ROUND((MOD(F421-E421,1)-N(G421))*24,2))</f>
        <v/>
      </c>
      <c r="L421" s="13">
        <f>IF(OR(H421="",I421=""),"",I421-H421)</f>
        <v/>
      </c>
      <c r="M421" s="13">
        <f>IF(B421="","",IF(J421="Parado - cliente",IFERROR(INDEX(Equipamentos!$D$5:$D$10,MATCH(B421,Equipamentos!$A$5:$A$10,0)),0),IF(OR(J421="Parado - manutenção",J421="Sem serviço"),0,MAX(N(K421),IFERROR(INDEX(Equipamentos!$D$5:$D$10,MATCH(B421,Equipamentos!$A$5:$A$10,0)),0)))))</f>
        <v/>
      </c>
      <c r="N421" s="14">
        <f>IF(B421="","",IFERROR(INDEX(Equipamentos!$C$5:$C$10,MATCH(B421,Equipamentos!$A$5:$A$10,0)),0))</f>
        <v/>
      </c>
      <c r="O421" s="14">
        <f>IF(B421="","",M421*N421)</f>
        <v/>
      </c>
      <c r="P421" s="9" t="n"/>
    </row>
    <row r="422">
      <c r="A422" s="15" t="n"/>
      <c r="B422" s="9" t="n"/>
      <c r="C422" s="9" t="n"/>
      <c r="D422" s="9" t="n"/>
      <c r="E422" s="16" t="n"/>
      <c r="F422" s="16" t="n"/>
      <c r="G422" s="16" t="n"/>
      <c r="H422" s="17" t="n"/>
      <c r="I422" s="17" t="n"/>
      <c r="J422" s="9" t="n"/>
      <c r="K422" s="13">
        <f>IF(OR(E422="",F422=""),"",ROUND((MOD(F422-E422,1)-N(G422))*24,2))</f>
        <v/>
      </c>
      <c r="L422" s="13">
        <f>IF(OR(H422="",I422=""),"",I422-H422)</f>
        <v/>
      </c>
      <c r="M422" s="13">
        <f>IF(B422="","",IF(J422="Parado - cliente",IFERROR(INDEX(Equipamentos!$D$5:$D$10,MATCH(B422,Equipamentos!$A$5:$A$10,0)),0),IF(OR(J422="Parado - manutenção",J422="Sem serviço"),0,MAX(N(K422),IFERROR(INDEX(Equipamentos!$D$5:$D$10,MATCH(B422,Equipamentos!$A$5:$A$10,0)),0)))))</f>
        <v/>
      </c>
      <c r="N422" s="14">
        <f>IF(B422="","",IFERROR(INDEX(Equipamentos!$C$5:$C$10,MATCH(B422,Equipamentos!$A$5:$A$10,0)),0))</f>
        <v/>
      </c>
      <c r="O422" s="14">
        <f>IF(B422="","",M422*N422)</f>
        <v/>
      </c>
      <c r="P422" s="9" t="n"/>
    </row>
    <row r="423">
      <c r="A423" s="15" t="n"/>
      <c r="B423" s="9" t="n"/>
      <c r="C423" s="9" t="n"/>
      <c r="D423" s="9" t="n"/>
      <c r="E423" s="16" t="n"/>
      <c r="F423" s="16" t="n"/>
      <c r="G423" s="16" t="n"/>
      <c r="H423" s="17" t="n"/>
      <c r="I423" s="17" t="n"/>
      <c r="J423" s="9" t="n"/>
      <c r="K423" s="13">
        <f>IF(OR(E423="",F423=""),"",ROUND((MOD(F423-E423,1)-N(G423))*24,2))</f>
        <v/>
      </c>
      <c r="L423" s="13">
        <f>IF(OR(H423="",I423=""),"",I423-H423)</f>
        <v/>
      </c>
      <c r="M423" s="13">
        <f>IF(B423="","",IF(J423="Parado - cliente",IFERROR(INDEX(Equipamentos!$D$5:$D$10,MATCH(B423,Equipamentos!$A$5:$A$10,0)),0),IF(OR(J423="Parado - manutenção",J423="Sem serviço"),0,MAX(N(K423),IFERROR(INDEX(Equipamentos!$D$5:$D$10,MATCH(B423,Equipamentos!$A$5:$A$10,0)),0)))))</f>
        <v/>
      </c>
      <c r="N423" s="14">
        <f>IF(B423="","",IFERROR(INDEX(Equipamentos!$C$5:$C$10,MATCH(B423,Equipamentos!$A$5:$A$10,0)),0))</f>
        <v/>
      </c>
      <c r="O423" s="14">
        <f>IF(B423="","",M423*N423)</f>
        <v/>
      </c>
      <c r="P423" s="9" t="n"/>
    </row>
    <row r="424">
      <c r="A424" s="15" t="n"/>
      <c r="B424" s="9" t="n"/>
      <c r="C424" s="9" t="n"/>
      <c r="D424" s="9" t="n"/>
      <c r="E424" s="16" t="n"/>
      <c r="F424" s="16" t="n"/>
      <c r="G424" s="16" t="n"/>
      <c r="H424" s="17" t="n"/>
      <c r="I424" s="17" t="n"/>
      <c r="J424" s="9" t="n"/>
      <c r="K424" s="13">
        <f>IF(OR(E424="",F424=""),"",ROUND((MOD(F424-E424,1)-N(G424))*24,2))</f>
        <v/>
      </c>
      <c r="L424" s="13">
        <f>IF(OR(H424="",I424=""),"",I424-H424)</f>
        <v/>
      </c>
      <c r="M424" s="13">
        <f>IF(B424="","",IF(J424="Parado - cliente",IFERROR(INDEX(Equipamentos!$D$5:$D$10,MATCH(B424,Equipamentos!$A$5:$A$10,0)),0),IF(OR(J424="Parado - manutenção",J424="Sem serviço"),0,MAX(N(K424),IFERROR(INDEX(Equipamentos!$D$5:$D$10,MATCH(B424,Equipamentos!$A$5:$A$10,0)),0)))))</f>
        <v/>
      </c>
      <c r="N424" s="14">
        <f>IF(B424="","",IFERROR(INDEX(Equipamentos!$C$5:$C$10,MATCH(B424,Equipamentos!$A$5:$A$10,0)),0))</f>
        <v/>
      </c>
      <c r="O424" s="14">
        <f>IF(B424="","",M424*N424)</f>
        <v/>
      </c>
      <c r="P424" s="9" t="n"/>
    </row>
    <row r="425">
      <c r="A425" s="15" t="n"/>
      <c r="B425" s="9" t="n"/>
      <c r="C425" s="9" t="n"/>
      <c r="D425" s="9" t="n"/>
      <c r="E425" s="16" t="n"/>
      <c r="F425" s="16" t="n"/>
      <c r="G425" s="16" t="n"/>
      <c r="H425" s="17" t="n"/>
      <c r="I425" s="17" t="n"/>
      <c r="J425" s="9" t="n"/>
      <c r="K425" s="13">
        <f>IF(OR(E425="",F425=""),"",ROUND((MOD(F425-E425,1)-N(G425))*24,2))</f>
        <v/>
      </c>
      <c r="L425" s="13">
        <f>IF(OR(H425="",I425=""),"",I425-H425)</f>
        <v/>
      </c>
      <c r="M425" s="13">
        <f>IF(B425="","",IF(J425="Parado - cliente",IFERROR(INDEX(Equipamentos!$D$5:$D$10,MATCH(B425,Equipamentos!$A$5:$A$10,0)),0),IF(OR(J425="Parado - manutenção",J425="Sem serviço"),0,MAX(N(K425),IFERROR(INDEX(Equipamentos!$D$5:$D$10,MATCH(B425,Equipamentos!$A$5:$A$10,0)),0)))))</f>
        <v/>
      </c>
      <c r="N425" s="14">
        <f>IF(B425="","",IFERROR(INDEX(Equipamentos!$C$5:$C$10,MATCH(B425,Equipamentos!$A$5:$A$10,0)),0))</f>
        <v/>
      </c>
      <c r="O425" s="14">
        <f>IF(B425="","",M425*N425)</f>
        <v/>
      </c>
      <c r="P425" s="9" t="n"/>
    </row>
    <row r="426">
      <c r="A426" s="15" t="n"/>
      <c r="B426" s="9" t="n"/>
      <c r="C426" s="9" t="n"/>
      <c r="D426" s="9" t="n"/>
      <c r="E426" s="16" t="n"/>
      <c r="F426" s="16" t="n"/>
      <c r="G426" s="16" t="n"/>
      <c r="H426" s="17" t="n"/>
      <c r="I426" s="17" t="n"/>
      <c r="J426" s="9" t="n"/>
      <c r="K426" s="13">
        <f>IF(OR(E426="",F426=""),"",ROUND((MOD(F426-E426,1)-N(G426))*24,2))</f>
        <v/>
      </c>
      <c r="L426" s="13">
        <f>IF(OR(H426="",I426=""),"",I426-H426)</f>
        <v/>
      </c>
      <c r="M426" s="13">
        <f>IF(B426="","",IF(J426="Parado - cliente",IFERROR(INDEX(Equipamentos!$D$5:$D$10,MATCH(B426,Equipamentos!$A$5:$A$10,0)),0),IF(OR(J426="Parado - manutenção",J426="Sem serviço"),0,MAX(N(K426),IFERROR(INDEX(Equipamentos!$D$5:$D$10,MATCH(B426,Equipamentos!$A$5:$A$10,0)),0)))))</f>
        <v/>
      </c>
      <c r="N426" s="14">
        <f>IF(B426="","",IFERROR(INDEX(Equipamentos!$C$5:$C$10,MATCH(B426,Equipamentos!$A$5:$A$10,0)),0))</f>
        <v/>
      </c>
      <c r="O426" s="14">
        <f>IF(B426="","",M426*N426)</f>
        <v/>
      </c>
      <c r="P426" s="9" t="n"/>
    </row>
    <row r="427">
      <c r="A427" s="15" t="n"/>
      <c r="B427" s="9" t="n"/>
      <c r="C427" s="9" t="n"/>
      <c r="D427" s="9" t="n"/>
      <c r="E427" s="16" t="n"/>
      <c r="F427" s="16" t="n"/>
      <c r="G427" s="16" t="n"/>
      <c r="H427" s="17" t="n"/>
      <c r="I427" s="17" t="n"/>
      <c r="J427" s="9" t="n"/>
      <c r="K427" s="13">
        <f>IF(OR(E427="",F427=""),"",ROUND((MOD(F427-E427,1)-N(G427))*24,2))</f>
        <v/>
      </c>
      <c r="L427" s="13">
        <f>IF(OR(H427="",I427=""),"",I427-H427)</f>
        <v/>
      </c>
      <c r="M427" s="13">
        <f>IF(B427="","",IF(J427="Parado - cliente",IFERROR(INDEX(Equipamentos!$D$5:$D$10,MATCH(B427,Equipamentos!$A$5:$A$10,0)),0),IF(OR(J427="Parado - manutenção",J427="Sem serviço"),0,MAX(N(K427),IFERROR(INDEX(Equipamentos!$D$5:$D$10,MATCH(B427,Equipamentos!$A$5:$A$10,0)),0)))))</f>
        <v/>
      </c>
      <c r="N427" s="14">
        <f>IF(B427="","",IFERROR(INDEX(Equipamentos!$C$5:$C$10,MATCH(B427,Equipamentos!$A$5:$A$10,0)),0))</f>
        <v/>
      </c>
      <c r="O427" s="14">
        <f>IF(B427="","",M427*N427)</f>
        <v/>
      </c>
      <c r="P427" s="9" t="n"/>
    </row>
    <row r="428">
      <c r="A428" s="15" t="n"/>
      <c r="B428" s="9" t="n"/>
      <c r="C428" s="9" t="n"/>
      <c r="D428" s="9" t="n"/>
      <c r="E428" s="16" t="n"/>
      <c r="F428" s="16" t="n"/>
      <c r="G428" s="16" t="n"/>
      <c r="H428" s="17" t="n"/>
      <c r="I428" s="17" t="n"/>
      <c r="J428" s="9" t="n"/>
      <c r="K428" s="13">
        <f>IF(OR(E428="",F428=""),"",ROUND((MOD(F428-E428,1)-N(G428))*24,2))</f>
        <v/>
      </c>
      <c r="L428" s="13">
        <f>IF(OR(H428="",I428=""),"",I428-H428)</f>
        <v/>
      </c>
      <c r="M428" s="13">
        <f>IF(B428="","",IF(J428="Parado - cliente",IFERROR(INDEX(Equipamentos!$D$5:$D$10,MATCH(B428,Equipamentos!$A$5:$A$10,0)),0),IF(OR(J428="Parado - manutenção",J428="Sem serviço"),0,MAX(N(K428),IFERROR(INDEX(Equipamentos!$D$5:$D$10,MATCH(B428,Equipamentos!$A$5:$A$10,0)),0)))))</f>
        <v/>
      </c>
      <c r="N428" s="14">
        <f>IF(B428="","",IFERROR(INDEX(Equipamentos!$C$5:$C$10,MATCH(B428,Equipamentos!$A$5:$A$10,0)),0))</f>
        <v/>
      </c>
      <c r="O428" s="14">
        <f>IF(B428="","",M428*N428)</f>
        <v/>
      </c>
      <c r="P428" s="9" t="n"/>
    </row>
    <row r="429">
      <c r="A429" s="15" t="n"/>
      <c r="B429" s="9" t="n"/>
      <c r="C429" s="9" t="n"/>
      <c r="D429" s="9" t="n"/>
      <c r="E429" s="16" t="n"/>
      <c r="F429" s="16" t="n"/>
      <c r="G429" s="16" t="n"/>
      <c r="H429" s="17" t="n"/>
      <c r="I429" s="17" t="n"/>
      <c r="J429" s="9" t="n"/>
      <c r="K429" s="13">
        <f>IF(OR(E429="",F429=""),"",ROUND((MOD(F429-E429,1)-N(G429))*24,2))</f>
        <v/>
      </c>
      <c r="L429" s="13">
        <f>IF(OR(H429="",I429=""),"",I429-H429)</f>
        <v/>
      </c>
      <c r="M429" s="13">
        <f>IF(B429="","",IF(J429="Parado - cliente",IFERROR(INDEX(Equipamentos!$D$5:$D$10,MATCH(B429,Equipamentos!$A$5:$A$10,0)),0),IF(OR(J429="Parado - manutenção",J429="Sem serviço"),0,MAX(N(K429),IFERROR(INDEX(Equipamentos!$D$5:$D$10,MATCH(B429,Equipamentos!$A$5:$A$10,0)),0)))))</f>
        <v/>
      </c>
      <c r="N429" s="14">
        <f>IF(B429="","",IFERROR(INDEX(Equipamentos!$C$5:$C$10,MATCH(B429,Equipamentos!$A$5:$A$10,0)),0))</f>
        <v/>
      </c>
      <c r="O429" s="14">
        <f>IF(B429="","",M429*N429)</f>
        <v/>
      </c>
      <c r="P429" s="9" t="n"/>
    </row>
    <row r="430">
      <c r="A430" s="15" t="n"/>
      <c r="B430" s="9" t="n"/>
      <c r="C430" s="9" t="n"/>
      <c r="D430" s="9" t="n"/>
      <c r="E430" s="16" t="n"/>
      <c r="F430" s="16" t="n"/>
      <c r="G430" s="16" t="n"/>
      <c r="H430" s="17" t="n"/>
      <c r="I430" s="17" t="n"/>
      <c r="J430" s="9" t="n"/>
      <c r="K430" s="13">
        <f>IF(OR(E430="",F430=""),"",ROUND((MOD(F430-E430,1)-N(G430))*24,2))</f>
        <v/>
      </c>
      <c r="L430" s="13">
        <f>IF(OR(H430="",I430=""),"",I430-H430)</f>
        <v/>
      </c>
      <c r="M430" s="13">
        <f>IF(B430="","",IF(J430="Parado - cliente",IFERROR(INDEX(Equipamentos!$D$5:$D$10,MATCH(B430,Equipamentos!$A$5:$A$10,0)),0),IF(OR(J430="Parado - manutenção",J430="Sem serviço"),0,MAX(N(K430),IFERROR(INDEX(Equipamentos!$D$5:$D$10,MATCH(B430,Equipamentos!$A$5:$A$10,0)),0)))))</f>
        <v/>
      </c>
      <c r="N430" s="14">
        <f>IF(B430="","",IFERROR(INDEX(Equipamentos!$C$5:$C$10,MATCH(B430,Equipamentos!$A$5:$A$10,0)),0))</f>
        <v/>
      </c>
      <c r="O430" s="14">
        <f>IF(B430="","",M430*N430)</f>
        <v/>
      </c>
      <c r="P430" s="9" t="n"/>
    </row>
    <row r="431">
      <c r="A431" s="15" t="n"/>
      <c r="B431" s="9" t="n"/>
      <c r="C431" s="9" t="n"/>
      <c r="D431" s="9" t="n"/>
      <c r="E431" s="16" t="n"/>
      <c r="F431" s="16" t="n"/>
      <c r="G431" s="16" t="n"/>
      <c r="H431" s="17" t="n"/>
      <c r="I431" s="17" t="n"/>
      <c r="J431" s="9" t="n"/>
      <c r="K431" s="13">
        <f>IF(OR(E431="",F431=""),"",ROUND((MOD(F431-E431,1)-N(G431))*24,2))</f>
        <v/>
      </c>
      <c r="L431" s="13">
        <f>IF(OR(H431="",I431=""),"",I431-H431)</f>
        <v/>
      </c>
      <c r="M431" s="13">
        <f>IF(B431="","",IF(J431="Parado - cliente",IFERROR(INDEX(Equipamentos!$D$5:$D$10,MATCH(B431,Equipamentos!$A$5:$A$10,0)),0),IF(OR(J431="Parado - manutenção",J431="Sem serviço"),0,MAX(N(K431),IFERROR(INDEX(Equipamentos!$D$5:$D$10,MATCH(B431,Equipamentos!$A$5:$A$10,0)),0)))))</f>
        <v/>
      </c>
      <c r="N431" s="14">
        <f>IF(B431="","",IFERROR(INDEX(Equipamentos!$C$5:$C$10,MATCH(B431,Equipamentos!$A$5:$A$10,0)),0))</f>
        <v/>
      </c>
      <c r="O431" s="14">
        <f>IF(B431="","",M431*N431)</f>
        <v/>
      </c>
      <c r="P431" s="9" t="n"/>
    </row>
    <row r="432">
      <c r="A432" s="15" t="n"/>
      <c r="B432" s="9" t="n"/>
      <c r="C432" s="9" t="n"/>
      <c r="D432" s="9" t="n"/>
      <c r="E432" s="16" t="n"/>
      <c r="F432" s="16" t="n"/>
      <c r="G432" s="16" t="n"/>
      <c r="H432" s="17" t="n"/>
      <c r="I432" s="17" t="n"/>
      <c r="J432" s="9" t="n"/>
      <c r="K432" s="13">
        <f>IF(OR(E432="",F432=""),"",ROUND((MOD(F432-E432,1)-N(G432))*24,2))</f>
        <v/>
      </c>
      <c r="L432" s="13">
        <f>IF(OR(H432="",I432=""),"",I432-H432)</f>
        <v/>
      </c>
      <c r="M432" s="13">
        <f>IF(B432="","",IF(J432="Parado - cliente",IFERROR(INDEX(Equipamentos!$D$5:$D$10,MATCH(B432,Equipamentos!$A$5:$A$10,0)),0),IF(OR(J432="Parado - manutenção",J432="Sem serviço"),0,MAX(N(K432),IFERROR(INDEX(Equipamentos!$D$5:$D$10,MATCH(B432,Equipamentos!$A$5:$A$10,0)),0)))))</f>
        <v/>
      </c>
      <c r="N432" s="14">
        <f>IF(B432="","",IFERROR(INDEX(Equipamentos!$C$5:$C$10,MATCH(B432,Equipamentos!$A$5:$A$10,0)),0))</f>
        <v/>
      </c>
      <c r="O432" s="14">
        <f>IF(B432="","",M432*N432)</f>
        <v/>
      </c>
      <c r="P432" s="9" t="n"/>
    </row>
    <row r="433">
      <c r="A433" s="15" t="n"/>
      <c r="B433" s="9" t="n"/>
      <c r="C433" s="9" t="n"/>
      <c r="D433" s="9" t="n"/>
      <c r="E433" s="16" t="n"/>
      <c r="F433" s="16" t="n"/>
      <c r="G433" s="16" t="n"/>
      <c r="H433" s="17" t="n"/>
      <c r="I433" s="17" t="n"/>
      <c r="J433" s="9" t="n"/>
      <c r="K433" s="13">
        <f>IF(OR(E433="",F433=""),"",ROUND((MOD(F433-E433,1)-N(G433))*24,2))</f>
        <v/>
      </c>
      <c r="L433" s="13">
        <f>IF(OR(H433="",I433=""),"",I433-H433)</f>
        <v/>
      </c>
      <c r="M433" s="13">
        <f>IF(B433="","",IF(J433="Parado - cliente",IFERROR(INDEX(Equipamentos!$D$5:$D$10,MATCH(B433,Equipamentos!$A$5:$A$10,0)),0),IF(OR(J433="Parado - manutenção",J433="Sem serviço"),0,MAX(N(K433),IFERROR(INDEX(Equipamentos!$D$5:$D$10,MATCH(B433,Equipamentos!$A$5:$A$10,0)),0)))))</f>
        <v/>
      </c>
      <c r="N433" s="14">
        <f>IF(B433="","",IFERROR(INDEX(Equipamentos!$C$5:$C$10,MATCH(B433,Equipamentos!$A$5:$A$10,0)),0))</f>
        <v/>
      </c>
      <c r="O433" s="14">
        <f>IF(B433="","",M433*N433)</f>
        <v/>
      </c>
      <c r="P433" s="9" t="n"/>
    </row>
    <row r="434">
      <c r="A434" s="15" t="n"/>
      <c r="B434" s="9" t="n"/>
      <c r="C434" s="9" t="n"/>
      <c r="D434" s="9" t="n"/>
      <c r="E434" s="16" t="n"/>
      <c r="F434" s="16" t="n"/>
      <c r="G434" s="16" t="n"/>
      <c r="H434" s="17" t="n"/>
      <c r="I434" s="17" t="n"/>
      <c r="J434" s="9" t="n"/>
      <c r="K434" s="13">
        <f>IF(OR(E434="",F434=""),"",ROUND((MOD(F434-E434,1)-N(G434))*24,2))</f>
        <v/>
      </c>
      <c r="L434" s="13">
        <f>IF(OR(H434="",I434=""),"",I434-H434)</f>
        <v/>
      </c>
      <c r="M434" s="13">
        <f>IF(B434="","",IF(J434="Parado - cliente",IFERROR(INDEX(Equipamentos!$D$5:$D$10,MATCH(B434,Equipamentos!$A$5:$A$10,0)),0),IF(OR(J434="Parado - manutenção",J434="Sem serviço"),0,MAX(N(K434),IFERROR(INDEX(Equipamentos!$D$5:$D$10,MATCH(B434,Equipamentos!$A$5:$A$10,0)),0)))))</f>
        <v/>
      </c>
      <c r="N434" s="14">
        <f>IF(B434="","",IFERROR(INDEX(Equipamentos!$C$5:$C$10,MATCH(B434,Equipamentos!$A$5:$A$10,0)),0))</f>
        <v/>
      </c>
      <c r="O434" s="14">
        <f>IF(B434="","",M434*N434)</f>
        <v/>
      </c>
      <c r="P434" s="9" t="n"/>
    </row>
    <row r="435">
      <c r="A435" s="15" t="n"/>
      <c r="B435" s="9" t="n"/>
      <c r="C435" s="9" t="n"/>
      <c r="D435" s="9" t="n"/>
      <c r="E435" s="16" t="n"/>
      <c r="F435" s="16" t="n"/>
      <c r="G435" s="16" t="n"/>
      <c r="H435" s="17" t="n"/>
      <c r="I435" s="17" t="n"/>
      <c r="J435" s="9" t="n"/>
      <c r="K435" s="13">
        <f>IF(OR(E435="",F435=""),"",ROUND((MOD(F435-E435,1)-N(G435))*24,2))</f>
        <v/>
      </c>
      <c r="L435" s="13">
        <f>IF(OR(H435="",I435=""),"",I435-H435)</f>
        <v/>
      </c>
      <c r="M435" s="13">
        <f>IF(B435="","",IF(J435="Parado - cliente",IFERROR(INDEX(Equipamentos!$D$5:$D$10,MATCH(B435,Equipamentos!$A$5:$A$10,0)),0),IF(OR(J435="Parado - manutenção",J435="Sem serviço"),0,MAX(N(K435),IFERROR(INDEX(Equipamentos!$D$5:$D$10,MATCH(B435,Equipamentos!$A$5:$A$10,0)),0)))))</f>
        <v/>
      </c>
      <c r="N435" s="14">
        <f>IF(B435="","",IFERROR(INDEX(Equipamentos!$C$5:$C$10,MATCH(B435,Equipamentos!$A$5:$A$10,0)),0))</f>
        <v/>
      </c>
      <c r="O435" s="14">
        <f>IF(B435="","",M435*N435)</f>
        <v/>
      </c>
      <c r="P435" s="9" t="n"/>
    </row>
    <row r="436">
      <c r="A436" s="15" t="n"/>
      <c r="B436" s="9" t="n"/>
      <c r="C436" s="9" t="n"/>
      <c r="D436" s="9" t="n"/>
      <c r="E436" s="16" t="n"/>
      <c r="F436" s="16" t="n"/>
      <c r="G436" s="16" t="n"/>
      <c r="H436" s="17" t="n"/>
      <c r="I436" s="17" t="n"/>
      <c r="J436" s="9" t="n"/>
      <c r="K436" s="13">
        <f>IF(OR(E436="",F436=""),"",ROUND((MOD(F436-E436,1)-N(G436))*24,2))</f>
        <v/>
      </c>
      <c r="L436" s="13">
        <f>IF(OR(H436="",I436=""),"",I436-H436)</f>
        <v/>
      </c>
      <c r="M436" s="13">
        <f>IF(B436="","",IF(J436="Parado - cliente",IFERROR(INDEX(Equipamentos!$D$5:$D$10,MATCH(B436,Equipamentos!$A$5:$A$10,0)),0),IF(OR(J436="Parado - manutenção",J436="Sem serviço"),0,MAX(N(K436),IFERROR(INDEX(Equipamentos!$D$5:$D$10,MATCH(B436,Equipamentos!$A$5:$A$10,0)),0)))))</f>
        <v/>
      </c>
      <c r="N436" s="14">
        <f>IF(B436="","",IFERROR(INDEX(Equipamentos!$C$5:$C$10,MATCH(B436,Equipamentos!$A$5:$A$10,0)),0))</f>
        <v/>
      </c>
      <c r="O436" s="14">
        <f>IF(B436="","",M436*N436)</f>
        <v/>
      </c>
      <c r="P436" s="9" t="n"/>
    </row>
    <row r="437">
      <c r="A437" s="15" t="n"/>
      <c r="B437" s="9" t="n"/>
      <c r="C437" s="9" t="n"/>
      <c r="D437" s="9" t="n"/>
      <c r="E437" s="16" t="n"/>
      <c r="F437" s="16" t="n"/>
      <c r="G437" s="16" t="n"/>
      <c r="H437" s="17" t="n"/>
      <c r="I437" s="17" t="n"/>
      <c r="J437" s="9" t="n"/>
      <c r="K437" s="13">
        <f>IF(OR(E437="",F437=""),"",ROUND((MOD(F437-E437,1)-N(G437))*24,2))</f>
        <v/>
      </c>
      <c r="L437" s="13">
        <f>IF(OR(H437="",I437=""),"",I437-H437)</f>
        <v/>
      </c>
      <c r="M437" s="13">
        <f>IF(B437="","",IF(J437="Parado - cliente",IFERROR(INDEX(Equipamentos!$D$5:$D$10,MATCH(B437,Equipamentos!$A$5:$A$10,0)),0),IF(OR(J437="Parado - manutenção",J437="Sem serviço"),0,MAX(N(K437),IFERROR(INDEX(Equipamentos!$D$5:$D$10,MATCH(B437,Equipamentos!$A$5:$A$10,0)),0)))))</f>
        <v/>
      </c>
      <c r="N437" s="14">
        <f>IF(B437="","",IFERROR(INDEX(Equipamentos!$C$5:$C$10,MATCH(B437,Equipamentos!$A$5:$A$10,0)),0))</f>
        <v/>
      </c>
      <c r="O437" s="14">
        <f>IF(B437="","",M437*N437)</f>
        <v/>
      </c>
      <c r="P437" s="9" t="n"/>
    </row>
    <row r="438">
      <c r="A438" s="15" t="n"/>
      <c r="B438" s="9" t="n"/>
      <c r="C438" s="9" t="n"/>
      <c r="D438" s="9" t="n"/>
      <c r="E438" s="16" t="n"/>
      <c r="F438" s="16" t="n"/>
      <c r="G438" s="16" t="n"/>
      <c r="H438" s="17" t="n"/>
      <c r="I438" s="17" t="n"/>
      <c r="J438" s="9" t="n"/>
      <c r="K438" s="13">
        <f>IF(OR(E438="",F438=""),"",ROUND((MOD(F438-E438,1)-N(G438))*24,2))</f>
        <v/>
      </c>
      <c r="L438" s="13">
        <f>IF(OR(H438="",I438=""),"",I438-H438)</f>
        <v/>
      </c>
      <c r="M438" s="13">
        <f>IF(B438="","",IF(J438="Parado - cliente",IFERROR(INDEX(Equipamentos!$D$5:$D$10,MATCH(B438,Equipamentos!$A$5:$A$10,0)),0),IF(OR(J438="Parado - manutenção",J438="Sem serviço"),0,MAX(N(K438),IFERROR(INDEX(Equipamentos!$D$5:$D$10,MATCH(B438,Equipamentos!$A$5:$A$10,0)),0)))))</f>
        <v/>
      </c>
      <c r="N438" s="14">
        <f>IF(B438="","",IFERROR(INDEX(Equipamentos!$C$5:$C$10,MATCH(B438,Equipamentos!$A$5:$A$10,0)),0))</f>
        <v/>
      </c>
      <c r="O438" s="14">
        <f>IF(B438="","",M438*N438)</f>
        <v/>
      </c>
      <c r="P438" s="9" t="n"/>
    </row>
    <row r="439">
      <c r="A439" s="15" t="n"/>
      <c r="B439" s="9" t="n"/>
      <c r="C439" s="9" t="n"/>
      <c r="D439" s="9" t="n"/>
      <c r="E439" s="16" t="n"/>
      <c r="F439" s="16" t="n"/>
      <c r="G439" s="16" t="n"/>
      <c r="H439" s="17" t="n"/>
      <c r="I439" s="17" t="n"/>
      <c r="J439" s="9" t="n"/>
      <c r="K439" s="13">
        <f>IF(OR(E439="",F439=""),"",ROUND((MOD(F439-E439,1)-N(G439))*24,2))</f>
        <v/>
      </c>
      <c r="L439" s="13">
        <f>IF(OR(H439="",I439=""),"",I439-H439)</f>
        <v/>
      </c>
      <c r="M439" s="13">
        <f>IF(B439="","",IF(J439="Parado - cliente",IFERROR(INDEX(Equipamentos!$D$5:$D$10,MATCH(B439,Equipamentos!$A$5:$A$10,0)),0),IF(OR(J439="Parado - manutenção",J439="Sem serviço"),0,MAX(N(K439),IFERROR(INDEX(Equipamentos!$D$5:$D$10,MATCH(B439,Equipamentos!$A$5:$A$10,0)),0)))))</f>
        <v/>
      </c>
      <c r="N439" s="14">
        <f>IF(B439="","",IFERROR(INDEX(Equipamentos!$C$5:$C$10,MATCH(B439,Equipamentos!$A$5:$A$10,0)),0))</f>
        <v/>
      </c>
      <c r="O439" s="14">
        <f>IF(B439="","",M439*N439)</f>
        <v/>
      </c>
      <c r="P439" s="9" t="n"/>
    </row>
    <row r="440">
      <c r="A440" s="15" t="n"/>
      <c r="B440" s="9" t="n"/>
      <c r="C440" s="9" t="n"/>
      <c r="D440" s="9" t="n"/>
      <c r="E440" s="16" t="n"/>
      <c r="F440" s="16" t="n"/>
      <c r="G440" s="16" t="n"/>
      <c r="H440" s="17" t="n"/>
      <c r="I440" s="17" t="n"/>
      <c r="J440" s="9" t="n"/>
      <c r="K440" s="13">
        <f>IF(OR(E440="",F440=""),"",ROUND((MOD(F440-E440,1)-N(G440))*24,2))</f>
        <v/>
      </c>
      <c r="L440" s="13">
        <f>IF(OR(H440="",I440=""),"",I440-H440)</f>
        <v/>
      </c>
      <c r="M440" s="13">
        <f>IF(B440="","",IF(J440="Parado - cliente",IFERROR(INDEX(Equipamentos!$D$5:$D$10,MATCH(B440,Equipamentos!$A$5:$A$10,0)),0),IF(OR(J440="Parado - manutenção",J440="Sem serviço"),0,MAX(N(K440),IFERROR(INDEX(Equipamentos!$D$5:$D$10,MATCH(B440,Equipamentos!$A$5:$A$10,0)),0)))))</f>
        <v/>
      </c>
      <c r="N440" s="14">
        <f>IF(B440="","",IFERROR(INDEX(Equipamentos!$C$5:$C$10,MATCH(B440,Equipamentos!$A$5:$A$10,0)),0))</f>
        <v/>
      </c>
      <c r="O440" s="14">
        <f>IF(B440="","",M440*N440)</f>
        <v/>
      </c>
      <c r="P440" s="9" t="n"/>
    </row>
    <row r="441">
      <c r="A441" s="15" t="n"/>
      <c r="B441" s="9" t="n"/>
      <c r="C441" s="9" t="n"/>
      <c r="D441" s="9" t="n"/>
      <c r="E441" s="16" t="n"/>
      <c r="F441" s="16" t="n"/>
      <c r="G441" s="16" t="n"/>
      <c r="H441" s="17" t="n"/>
      <c r="I441" s="17" t="n"/>
      <c r="J441" s="9" t="n"/>
      <c r="K441" s="13">
        <f>IF(OR(E441="",F441=""),"",ROUND((MOD(F441-E441,1)-N(G441))*24,2))</f>
        <v/>
      </c>
      <c r="L441" s="13">
        <f>IF(OR(H441="",I441=""),"",I441-H441)</f>
        <v/>
      </c>
      <c r="M441" s="13">
        <f>IF(B441="","",IF(J441="Parado - cliente",IFERROR(INDEX(Equipamentos!$D$5:$D$10,MATCH(B441,Equipamentos!$A$5:$A$10,0)),0),IF(OR(J441="Parado - manutenção",J441="Sem serviço"),0,MAX(N(K441),IFERROR(INDEX(Equipamentos!$D$5:$D$10,MATCH(B441,Equipamentos!$A$5:$A$10,0)),0)))))</f>
        <v/>
      </c>
      <c r="N441" s="14">
        <f>IF(B441="","",IFERROR(INDEX(Equipamentos!$C$5:$C$10,MATCH(B441,Equipamentos!$A$5:$A$10,0)),0))</f>
        <v/>
      </c>
      <c r="O441" s="14">
        <f>IF(B441="","",M441*N441)</f>
        <v/>
      </c>
      <c r="P441" s="9" t="n"/>
    </row>
    <row r="442">
      <c r="A442" s="15" t="n"/>
      <c r="B442" s="9" t="n"/>
      <c r="C442" s="9" t="n"/>
      <c r="D442" s="9" t="n"/>
      <c r="E442" s="16" t="n"/>
      <c r="F442" s="16" t="n"/>
      <c r="G442" s="16" t="n"/>
      <c r="H442" s="17" t="n"/>
      <c r="I442" s="17" t="n"/>
      <c r="J442" s="9" t="n"/>
      <c r="K442" s="13">
        <f>IF(OR(E442="",F442=""),"",ROUND((MOD(F442-E442,1)-N(G442))*24,2))</f>
        <v/>
      </c>
      <c r="L442" s="13">
        <f>IF(OR(H442="",I442=""),"",I442-H442)</f>
        <v/>
      </c>
      <c r="M442" s="13">
        <f>IF(B442="","",IF(J442="Parado - cliente",IFERROR(INDEX(Equipamentos!$D$5:$D$10,MATCH(B442,Equipamentos!$A$5:$A$10,0)),0),IF(OR(J442="Parado - manutenção",J442="Sem serviço"),0,MAX(N(K442),IFERROR(INDEX(Equipamentos!$D$5:$D$10,MATCH(B442,Equipamentos!$A$5:$A$10,0)),0)))))</f>
        <v/>
      </c>
      <c r="N442" s="14">
        <f>IF(B442="","",IFERROR(INDEX(Equipamentos!$C$5:$C$10,MATCH(B442,Equipamentos!$A$5:$A$10,0)),0))</f>
        <v/>
      </c>
      <c r="O442" s="14">
        <f>IF(B442="","",M442*N442)</f>
        <v/>
      </c>
      <c r="P442" s="9" t="n"/>
    </row>
    <row r="443">
      <c r="A443" s="15" t="n"/>
      <c r="B443" s="9" t="n"/>
      <c r="C443" s="9" t="n"/>
      <c r="D443" s="9" t="n"/>
      <c r="E443" s="16" t="n"/>
      <c r="F443" s="16" t="n"/>
      <c r="G443" s="16" t="n"/>
      <c r="H443" s="17" t="n"/>
      <c r="I443" s="17" t="n"/>
      <c r="J443" s="9" t="n"/>
      <c r="K443" s="13">
        <f>IF(OR(E443="",F443=""),"",ROUND((MOD(F443-E443,1)-N(G443))*24,2))</f>
        <v/>
      </c>
      <c r="L443" s="13">
        <f>IF(OR(H443="",I443=""),"",I443-H443)</f>
        <v/>
      </c>
      <c r="M443" s="13">
        <f>IF(B443="","",IF(J443="Parado - cliente",IFERROR(INDEX(Equipamentos!$D$5:$D$10,MATCH(B443,Equipamentos!$A$5:$A$10,0)),0),IF(OR(J443="Parado - manutenção",J443="Sem serviço"),0,MAX(N(K443),IFERROR(INDEX(Equipamentos!$D$5:$D$10,MATCH(B443,Equipamentos!$A$5:$A$10,0)),0)))))</f>
        <v/>
      </c>
      <c r="N443" s="14">
        <f>IF(B443="","",IFERROR(INDEX(Equipamentos!$C$5:$C$10,MATCH(B443,Equipamentos!$A$5:$A$10,0)),0))</f>
        <v/>
      </c>
      <c r="O443" s="14">
        <f>IF(B443="","",M443*N443)</f>
        <v/>
      </c>
      <c r="P443" s="9" t="n"/>
    </row>
    <row r="444">
      <c r="A444" s="15" t="n"/>
      <c r="B444" s="9" t="n"/>
      <c r="C444" s="9" t="n"/>
      <c r="D444" s="9" t="n"/>
      <c r="E444" s="16" t="n"/>
      <c r="F444" s="16" t="n"/>
      <c r="G444" s="16" t="n"/>
      <c r="H444" s="17" t="n"/>
      <c r="I444" s="17" t="n"/>
      <c r="J444" s="9" t="n"/>
      <c r="K444" s="13">
        <f>IF(OR(E444="",F444=""),"",ROUND((MOD(F444-E444,1)-N(G444))*24,2))</f>
        <v/>
      </c>
      <c r="L444" s="13">
        <f>IF(OR(H444="",I444=""),"",I444-H444)</f>
        <v/>
      </c>
      <c r="M444" s="13">
        <f>IF(B444="","",IF(J444="Parado - cliente",IFERROR(INDEX(Equipamentos!$D$5:$D$10,MATCH(B444,Equipamentos!$A$5:$A$10,0)),0),IF(OR(J444="Parado - manutenção",J444="Sem serviço"),0,MAX(N(K444),IFERROR(INDEX(Equipamentos!$D$5:$D$10,MATCH(B444,Equipamentos!$A$5:$A$10,0)),0)))))</f>
        <v/>
      </c>
      <c r="N444" s="14">
        <f>IF(B444="","",IFERROR(INDEX(Equipamentos!$C$5:$C$10,MATCH(B444,Equipamentos!$A$5:$A$10,0)),0))</f>
        <v/>
      </c>
      <c r="O444" s="14">
        <f>IF(B444="","",M444*N444)</f>
        <v/>
      </c>
      <c r="P444" s="9" t="n"/>
    </row>
    <row r="445">
      <c r="A445" s="15" t="n"/>
      <c r="B445" s="9" t="n"/>
      <c r="C445" s="9" t="n"/>
      <c r="D445" s="9" t="n"/>
      <c r="E445" s="16" t="n"/>
      <c r="F445" s="16" t="n"/>
      <c r="G445" s="16" t="n"/>
      <c r="H445" s="17" t="n"/>
      <c r="I445" s="17" t="n"/>
      <c r="J445" s="9" t="n"/>
      <c r="K445" s="13">
        <f>IF(OR(E445="",F445=""),"",ROUND((MOD(F445-E445,1)-N(G445))*24,2))</f>
        <v/>
      </c>
      <c r="L445" s="13">
        <f>IF(OR(H445="",I445=""),"",I445-H445)</f>
        <v/>
      </c>
      <c r="M445" s="13">
        <f>IF(B445="","",IF(J445="Parado - cliente",IFERROR(INDEX(Equipamentos!$D$5:$D$10,MATCH(B445,Equipamentos!$A$5:$A$10,0)),0),IF(OR(J445="Parado - manutenção",J445="Sem serviço"),0,MAX(N(K445),IFERROR(INDEX(Equipamentos!$D$5:$D$10,MATCH(B445,Equipamentos!$A$5:$A$10,0)),0)))))</f>
        <v/>
      </c>
      <c r="N445" s="14">
        <f>IF(B445="","",IFERROR(INDEX(Equipamentos!$C$5:$C$10,MATCH(B445,Equipamentos!$A$5:$A$10,0)),0))</f>
        <v/>
      </c>
      <c r="O445" s="14">
        <f>IF(B445="","",M445*N445)</f>
        <v/>
      </c>
      <c r="P445" s="9" t="n"/>
    </row>
    <row r="446">
      <c r="A446" s="15" t="n"/>
      <c r="B446" s="9" t="n"/>
      <c r="C446" s="9" t="n"/>
      <c r="D446" s="9" t="n"/>
      <c r="E446" s="16" t="n"/>
      <c r="F446" s="16" t="n"/>
      <c r="G446" s="16" t="n"/>
      <c r="H446" s="17" t="n"/>
      <c r="I446" s="17" t="n"/>
      <c r="J446" s="9" t="n"/>
      <c r="K446" s="13">
        <f>IF(OR(E446="",F446=""),"",ROUND((MOD(F446-E446,1)-N(G446))*24,2))</f>
        <v/>
      </c>
      <c r="L446" s="13">
        <f>IF(OR(H446="",I446=""),"",I446-H446)</f>
        <v/>
      </c>
      <c r="M446" s="13">
        <f>IF(B446="","",IF(J446="Parado - cliente",IFERROR(INDEX(Equipamentos!$D$5:$D$10,MATCH(B446,Equipamentos!$A$5:$A$10,0)),0),IF(OR(J446="Parado - manutenção",J446="Sem serviço"),0,MAX(N(K446),IFERROR(INDEX(Equipamentos!$D$5:$D$10,MATCH(B446,Equipamentos!$A$5:$A$10,0)),0)))))</f>
        <v/>
      </c>
      <c r="N446" s="14">
        <f>IF(B446="","",IFERROR(INDEX(Equipamentos!$C$5:$C$10,MATCH(B446,Equipamentos!$A$5:$A$10,0)),0))</f>
        <v/>
      </c>
      <c r="O446" s="14">
        <f>IF(B446="","",M446*N446)</f>
        <v/>
      </c>
      <c r="P446" s="9" t="n"/>
    </row>
    <row r="447">
      <c r="A447" s="15" t="n"/>
      <c r="B447" s="9" t="n"/>
      <c r="C447" s="9" t="n"/>
      <c r="D447" s="9" t="n"/>
      <c r="E447" s="16" t="n"/>
      <c r="F447" s="16" t="n"/>
      <c r="G447" s="16" t="n"/>
      <c r="H447" s="17" t="n"/>
      <c r="I447" s="17" t="n"/>
      <c r="J447" s="9" t="n"/>
      <c r="K447" s="13">
        <f>IF(OR(E447="",F447=""),"",ROUND((MOD(F447-E447,1)-N(G447))*24,2))</f>
        <v/>
      </c>
      <c r="L447" s="13">
        <f>IF(OR(H447="",I447=""),"",I447-H447)</f>
        <v/>
      </c>
      <c r="M447" s="13">
        <f>IF(B447="","",IF(J447="Parado - cliente",IFERROR(INDEX(Equipamentos!$D$5:$D$10,MATCH(B447,Equipamentos!$A$5:$A$10,0)),0),IF(OR(J447="Parado - manutenção",J447="Sem serviço"),0,MAX(N(K447),IFERROR(INDEX(Equipamentos!$D$5:$D$10,MATCH(B447,Equipamentos!$A$5:$A$10,0)),0)))))</f>
        <v/>
      </c>
      <c r="N447" s="14">
        <f>IF(B447="","",IFERROR(INDEX(Equipamentos!$C$5:$C$10,MATCH(B447,Equipamentos!$A$5:$A$10,0)),0))</f>
        <v/>
      </c>
      <c r="O447" s="14">
        <f>IF(B447="","",M447*N447)</f>
        <v/>
      </c>
      <c r="P447" s="9" t="n"/>
    </row>
    <row r="448">
      <c r="A448" s="15" t="n"/>
      <c r="B448" s="9" t="n"/>
      <c r="C448" s="9" t="n"/>
      <c r="D448" s="9" t="n"/>
      <c r="E448" s="16" t="n"/>
      <c r="F448" s="16" t="n"/>
      <c r="G448" s="16" t="n"/>
      <c r="H448" s="17" t="n"/>
      <c r="I448" s="17" t="n"/>
      <c r="J448" s="9" t="n"/>
      <c r="K448" s="13">
        <f>IF(OR(E448="",F448=""),"",ROUND((MOD(F448-E448,1)-N(G448))*24,2))</f>
        <v/>
      </c>
      <c r="L448" s="13">
        <f>IF(OR(H448="",I448=""),"",I448-H448)</f>
        <v/>
      </c>
      <c r="M448" s="13">
        <f>IF(B448="","",IF(J448="Parado - cliente",IFERROR(INDEX(Equipamentos!$D$5:$D$10,MATCH(B448,Equipamentos!$A$5:$A$10,0)),0),IF(OR(J448="Parado - manutenção",J448="Sem serviço"),0,MAX(N(K448),IFERROR(INDEX(Equipamentos!$D$5:$D$10,MATCH(B448,Equipamentos!$A$5:$A$10,0)),0)))))</f>
        <v/>
      </c>
      <c r="N448" s="14">
        <f>IF(B448="","",IFERROR(INDEX(Equipamentos!$C$5:$C$10,MATCH(B448,Equipamentos!$A$5:$A$10,0)),0))</f>
        <v/>
      </c>
      <c r="O448" s="14">
        <f>IF(B448="","",M448*N448)</f>
        <v/>
      </c>
      <c r="P448" s="9" t="n"/>
    </row>
    <row r="449">
      <c r="A449" s="15" t="n"/>
      <c r="B449" s="9" t="n"/>
      <c r="C449" s="9" t="n"/>
      <c r="D449" s="9" t="n"/>
      <c r="E449" s="16" t="n"/>
      <c r="F449" s="16" t="n"/>
      <c r="G449" s="16" t="n"/>
      <c r="H449" s="17" t="n"/>
      <c r="I449" s="17" t="n"/>
      <c r="J449" s="9" t="n"/>
      <c r="K449" s="13">
        <f>IF(OR(E449="",F449=""),"",ROUND((MOD(F449-E449,1)-N(G449))*24,2))</f>
        <v/>
      </c>
      <c r="L449" s="13">
        <f>IF(OR(H449="",I449=""),"",I449-H449)</f>
        <v/>
      </c>
      <c r="M449" s="13">
        <f>IF(B449="","",IF(J449="Parado - cliente",IFERROR(INDEX(Equipamentos!$D$5:$D$10,MATCH(B449,Equipamentos!$A$5:$A$10,0)),0),IF(OR(J449="Parado - manutenção",J449="Sem serviço"),0,MAX(N(K449),IFERROR(INDEX(Equipamentos!$D$5:$D$10,MATCH(B449,Equipamentos!$A$5:$A$10,0)),0)))))</f>
        <v/>
      </c>
      <c r="N449" s="14">
        <f>IF(B449="","",IFERROR(INDEX(Equipamentos!$C$5:$C$10,MATCH(B449,Equipamentos!$A$5:$A$10,0)),0))</f>
        <v/>
      </c>
      <c r="O449" s="14">
        <f>IF(B449="","",M449*N449)</f>
        <v/>
      </c>
      <c r="P449" s="9" t="n"/>
    </row>
    <row r="450">
      <c r="A450" s="15" t="n"/>
      <c r="B450" s="9" t="n"/>
      <c r="C450" s="9" t="n"/>
      <c r="D450" s="9" t="n"/>
      <c r="E450" s="16" t="n"/>
      <c r="F450" s="16" t="n"/>
      <c r="G450" s="16" t="n"/>
      <c r="H450" s="17" t="n"/>
      <c r="I450" s="17" t="n"/>
      <c r="J450" s="9" t="n"/>
      <c r="K450" s="13">
        <f>IF(OR(E450="",F450=""),"",ROUND((MOD(F450-E450,1)-N(G450))*24,2))</f>
        <v/>
      </c>
      <c r="L450" s="13">
        <f>IF(OR(H450="",I450=""),"",I450-H450)</f>
        <v/>
      </c>
      <c r="M450" s="13">
        <f>IF(B450="","",IF(J450="Parado - cliente",IFERROR(INDEX(Equipamentos!$D$5:$D$10,MATCH(B450,Equipamentos!$A$5:$A$10,0)),0),IF(OR(J450="Parado - manutenção",J450="Sem serviço"),0,MAX(N(K450),IFERROR(INDEX(Equipamentos!$D$5:$D$10,MATCH(B450,Equipamentos!$A$5:$A$10,0)),0)))))</f>
        <v/>
      </c>
      <c r="N450" s="14">
        <f>IF(B450="","",IFERROR(INDEX(Equipamentos!$C$5:$C$10,MATCH(B450,Equipamentos!$A$5:$A$10,0)),0))</f>
        <v/>
      </c>
      <c r="O450" s="14">
        <f>IF(B450="","",M450*N450)</f>
        <v/>
      </c>
      <c r="P450" s="9" t="n"/>
    </row>
    <row r="451">
      <c r="A451" s="15" t="n"/>
      <c r="B451" s="9" t="n"/>
      <c r="C451" s="9" t="n"/>
      <c r="D451" s="9" t="n"/>
      <c r="E451" s="16" t="n"/>
      <c r="F451" s="16" t="n"/>
      <c r="G451" s="16" t="n"/>
      <c r="H451" s="17" t="n"/>
      <c r="I451" s="17" t="n"/>
      <c r="J451" s="9" t="n"/>
      <c r="K451" s="13">
        <f>IF(OR(E451="",F451=""),"",ROUND((MOD(F451-E451,1)-N(G451))*24,2))</f>
        <v/>
      </c>
      <c r="L451" s="13">
        <f>IF(OR(H451="",I451=""),"",I451-H451)</f>
        <v/>
      </c>
      <c r="M451" s="13">
        <f>IF(B451="","",IF(J451="Parado - cliente",IFERROR(INDEX(Equipamentos!$D$5:$D$10,MATCH(B451,Equipamentos!$A$5:$A$10,0)),0),IF(OR(J451="Parado - manutenção",J451="Sem serviço"),0,MAX(N(K451),IFERROR(INDEX(Equipamentos!$D$5:$D$10,MATCH(B451,Equipamentos!$A$5:$A$10,0)),0)))))</f>
        <v/>
      </c>
      <c r="N451" s="14">
        <f>IF(B451="","",IFERROR(INDEX(Equipamentos!$C$5:$C$10,MATCH(B451,Equipamentos!$A$5:$A$10,0)),0))</f>
        <v/>
      </c>
      <c r="O451" s="14">
        <f>IF(B451="","",M451*N451)</f>
        <v/>
      </c>
      <c r="P451" s="9" t="n"/>
    </row>
    <row r="452">
      <c r="A452" s="15" t="n"/>
      <c r="B452" s="9" t="n"/>
      <c r="C452" s="9" t="n"/>
      <c r="D452" s="9" t="n"/>
      <c r="E452" s="16" t="n"/>
      <c r="F452" s="16" t="n"/>
      <c r="G452" s="16" t="n"/>
      <c r="H452" s="17" t="n"/>
      <c r="I452" s="17" t="n"/>
      <c r="J452" s="9" t="n"/>
      <c r="K452" s="13">
        <f>IF(OR(E452="",F452=""),"",ROUND((MOD(F452-E452,1)-N(G452))*24,2))</f>
        <v/>
      </c>
      <c r="L452" s="13">
        <f>IF(OR(H452="",I452=""),"",I452-H452)</f>
        <v/>
      </c>
      <c r="M452" s="13">
        <f>IF(B452="","",IF(J452="Parado - cliente",IFERROR(INDEX(Equipamentos!$D$5:$D$10,MATCH(B452,Equipamentos!$A$5:$A$10,0)),0),IF(OR(J452="Parado - manutenção",J452="Sem serviço"),0,MAX(N(K452),IFERROR(INDEX(Equipamentos!$D$5:$D$10,MATCH(B452,Equipamentos!$A$5:$A$10,0)),0)))))</f>
        <v/>
      </c>
      <c r="N452" s="14">
        <f>IF(B452="","",IFERROR(INDEX(Equipamentos!$C$5:$C$10,MATCH(B452,Equipamentos!$A$5:$A$10,0)),0))</f>
        <v/>
      </c>
      <c r="O452" s="14">
        <f>IF(B452="","",M452*N452)</f>
        <v/>
      </c>
      <c r="P452" s="9" t="n"/>
    </row>
    <row r="453">
      <c r="A453" s="15" t="n"/>
      <c r="B453" s="9" t="n"/>
      <c r="C453" s="9" t="n"/>
      <c r="D453" s="9" t="n"/>
      <c r="E453" s="16" t="n"/>
      <c r="F453" s="16" t="n"/>
      <c r="G453" s="16" t="n"/>
      <c r="H453" s="17" t="n"/>
      <c r="I453" s="17" t="n"/>
      <c r="J453" s="9" t="n"/>
      <c r="K453" s="13">
        <f>IF(OR(E453="",F453=""),"",ROUND((MOD(F453-E453,1)-N(G453))*24,2))</f>
        <v/>
      </c>
      <c r="L453" s="13">
        <f>IF(OR(H453="",I453=""),"",I453-H453)</f>
        <v/>
      </c>
      <c r="M453" s="13">
        <f>IF(B453="","",IF(J453="Parado - cliente",IFERROR(INDEX(Equipamentos!$D$5:$D$10,MATCH(B453,Equipamentos!$A$5:$A$10,0)),0),IF(OR(J453="Parado - manutenção",J453="Sem serviço"),0,MAX(N(K453),IFERROR(INDEX(Equipamentos!$D$5:$D$10,MATCH(B453,Equipamentos!$A$5:$A$10,0)),0)))))</f>
        <v/>
      </c>
      <c r="N453" s="14">
        <f>IF(B453="","",IFERROR(INDEX(Equipamentos!$C$5:$C$10,MATCH(B453,Equipamentos!$A$5:$A$10,0)),0))</f>
        <v/>
      </c>
      <c r="O453" s="14">
        <f>IF(B453="","",M453*N453)</f>
        <v/>
      </c>
      <c r="P453" s="9" t="n"/>
    </row>
    <row r="454">
      <c r="A454" s="15" t="n"/>
      <c r="B454" s="9" t="n"/>
      <c r="C454" s="9" t="n"/>
      <c r="D454" s="9" t="n"/>
      <c r="E454" s="16" t="n"/>
      <c r="F454" s="16" t="n"/>
      <c r="G454" s="16" t="n"/>
      <c r="H454" s="17" t="n"/>
      <c r="I454" s="17" t="n"/>
      <c r="J454" s="9" t="n"/>
      <c r="K454" s="13">
        <f>IF(OR(E454="",F454=""),"",ROUND((MOD(F454-E454,1)-N(G454))*24,2))</f>
        <v/>
      </c>
      <c r="L454" s="13">
        <f>IF(OR(H454="",I454=""),"",I454-H454)</f>
        <v/>
      </c>
      <c r="M454" s="13">
        <f>IF(B454="","",IF(J454="Parado - cliente",IFERROR(INDEX(Equipamentos!$D$5:$D$10,MATCH(B454,Equipamentos!$A$5:$A$10,0)),0),IF(OR(J454="Parado - manutenção",J454="Sem serviço"),0,MAX(N(K454),IFERROR(INDEX(Equipamentos!$D$5:$D$10,MATCH(B454,Equipamentos!$A$5:$A$10,0)),0)))))</f>
        <v/>
      </c>
      <c r="N454" s="14">
        <f>IF(B454="","",IFERROR(INDEX(Equipamentos!$C$5:$C$10,MATCH(B454,Equipamentos!$A$5:$A$10,0)),0))</f>
        <v/>
      </c>
      <c r="O454" s="14">
        <f>IF(B454="","",M454*N454)</f>
        <v/>
      </c>
      <c r="P454" s="9" t="n"/>
    </row>
    <row r="455">
      <c r="A455" s="15" t="n"/>
      <c r="B455" s="9" t="n"/>
      <c r="C455" s="9" t="n"/>
      <c r="D455" s="9" t="n"/>
      <c r="E455" s="16" t="n"/>
      <c r="F455" s="16" t="n"/>
      <c r="G455" s="16" t="n"/>
      <c r="H455" s="17" t="n"/>
      <c r="I455" s="17" t="n"/>
      <c r="J455" s="9" t="n"/>
      <c r="K455" s="13">
        <f>IF(OR(E455="",F455=""),"",ROUND((MOD(F455-E455,1)-N(G455))*24,2))</f>
        <v/>
      </c>
      <c r="L455" s="13">
        <f>IF(OR(H455="",I455=""),"",I455-H455)</f>
        <v/>
      </c>
      <c r="M455" s="13">
        <f>IF(B455="","",IF(J455="Parado - cliente",IFERROR(INDEX(Equipamentos!$D$5:$D$10,MATCH(B455,Equipamentos!$A$5:$A$10,0)),0),IF(OR(J455="Parado - manutenção",J455="Sem serviço"),0,MAX(N(K455),IFERROR(INDEX(Equipamentos!$D$5:$D$10,MATCH(B455,Equipamentos!$A$5:$A$10,0)),0)))))</f>
        <v/>
      </c>
      <c r="N455" s="14">
        <f>IF(B455="","",IFERROR(INDEX(Equipamentos!$C$5:$C$10,MATCH(B455,Equipamentos!$A$5:$A$10,0)),0))</f>
        <v/>
      </c>
      <c r="O455" s="14">
        <f>IF(B455="","",M455*N455)</f>
        <v/>
      </c>
      <c r="P455" s="9" t="n"/>
    </row>
    <row r="456">
      <c r="A456" s="15" t="n"/>
      <c r="B456" s="9" t="n"/>
      <c r="C456" s="9" t="n"/>
      <c r="D456" s="9" t="n"/>
      <c r="E456" s="16" t="n"/>
      <c r="F456" s="16" t="n"/>
      <c r="G456" s="16" t="n"/>
      <c r="H456" s="17" t="n"/>
      <c r="I456" s="17" t="n"/>
      <c r="J456" s="9" t="n"/>
      <c r="K456" s="13">
        <f>IF(OR(E456="",F456=""),"",ROUND((MOD(F456-E456,1)-N(G456))*24,2))</f>
        <v/>
      </c>
      <c r="L456" s="13">
        <f>IF(OR(H456="",I456=""),"",I456-H456)</f>
        <v/>
      </c>
      <c r="M456" s="13">
        <f>IF(B456="","",IF(J456="Parado - cliente",IFERROR(INDEX(Equipamentos!$D$5:$D$10,MATCH(B456,Equipamentos!$A$5:$A$10,0)),0),IF(OR(J456="Parado - manutenção",J456="Sem serviço"),0,MAX(N(K456),IFERROR(INDEX(Equipamentos!$D$5:$D$10,MATCH(B456,Equipamentos!$A$5:$A$10,0)),0)))))</f>
        <v/>
      </c>
      <c r="N456" s="14">
        <f>IF(B456="","",IFERROR(INDEX(Equipamentos!$C$5:$C$10,MATCH(B456,Equipamentos!$A$5:$A$10,0)),0))</f>
        <v/>
      </c>
      <c r="O456" s="14">
        <f>IF(B456="","",M456*N456)</f>
        <v/>
      </c>
      <c r="P456" s="9" t="n"/>
    </row>
    <row r="457">
      <c r="A457" s="15" t="n"/>
      <c r="B457" s="9" t="n"/>
      <c r="C457" s="9" t="n"/>
      <c r="D457" s="9" t="n"/>
      <c r="E457" s="16" t="n"/>
      <c r="F457" s="16" t="n"/>
      <c r="G457" s="16" t="n"/>
      <c r="H457" s="17" t="n"/>
      <c r="I457" s="17" t="n"/>
      <c r="J457" s="9" t="n"/>
      <c r="K457" s="13">
        <f>IF(OR(E457="",F457=""),"",ROUND((MOD(F457-E457,1)-N(G457))*24,2))</f>
        <v/>
      </c>
      <c r="L457" s="13">
        <f>IF(OR(H457="",I457=""),"",I457-H457)</f>
        <v/>
      </c>
      <c r="M457" s="13">
        <f>IF(B457="","",IF(J457="Parado - cliente",IFERROR(INDEX(Equipamentos!$D$5:$D$10,MATCH(B457,Equipamentos!$A$5:$A$10,0)),0),IF(OR(J457="Parado - manutenção",J457="Sem serviço"),0,MAX(N(K457),IFERROR(INDEX(Equipamentos!$D$5:$D$10,MATCH(B457,Equipamentos!$A$5:$A$10,0)),0)))))</f>
        <v/>
      </c>
      <c r="N457" s="14">
        <f>IF(B457="","",IFERROR(INDEX(Equipamentos!$C$5:$C$10,MATCH(B457,Equipamentos!$A$5:$A$10,0)),0))</f>
        <v/>
      </c>
      <c r="O457" s="14">
        <f>IF(B457="","",M457*N457)</f>
        <v/>
      </c>
      <c r="P457" s="9" t="n"/>
    </row>
    <row r="458">
      <c r="A458" s="15" t="n"/>
      <c r="B458" s="9" t="n"/>
      <c r="C458" s="9" t="n"/>
      <c r="D458" s="9" t="n"/>
      <c r="E458" s="16" t="n"/>
      <c r="F458" s="16" t="n"/>
      <c r="G458" s="16" t="n"/>
      <c r="H458" s="17" t="n"/>
      <c r="I458" s="17" t="n"/>
      <c r="J458" s="9" t="n"/>
      <c r="K458" s="13">
        <f>IF(OR(E458="",F458=""),"",ROUND((MOD(F458-E458,1)-N(G458))*24,2))</f>
        <v/>
      </c>
      <c r="L458" s="13">
        <f>IF(OR(H458="",I458=""),"",I458-H458)</f>
        <v/>
      </c>
      <c r="M458" s="13">
        <f>IF(B458="","",IF(J458="Parado - cliente",IFERROR(INDEX(Equipamentos!$D$5:$D$10,MATCH(B458,Equipamentos!$A$5:$A$10,0)),0),IF(OR(J458="Parado - manutenção",J458="Sem serviço"),0,MAX(N(K458),IFERROR(INDEX(Equipamentos!$D$5:$D$10,MATCH(B458,Equipamentos!$A$5:$A$10,0)),0)))))</f>
        <v/>
      </c>
      <c r="N458" s="14">
        <f>IF(B458="","",IFERROR(INDEX(Equipamentos!$C$5:$C$10,MATCH(B458,Equipamentos!$A$5:$A$10,0)),0))</f>
        <v/>
      </c>
      <c r="O458" s="14">
        <f>IF(B458="","",M458*N458)</f>
        <v/>
      </c>
      <c r="P458" s="9" t="n"/>
    </row>
    <row r="459">
      <c r="A459" s="15" t="n"/>
      <c r="B459" s="9" t="n"/>
      <c r="C459" s="9" t="n"/>
      <c r="D459" s="9" t="n"/>
      <c r="E459" s="16" t="n"/>
      <c r="F459" s="16" t="n"/>
      <c r="G459" s="16" t="n"/>
      <c r="H459" s="17" t="n"/>
      <c r="I459" s="17" t="n"/>
      <c r="J459" s="9" t="n"/>
      <c r="K459" s="13">
        <f>IF(OR(E459="",F459=""),"",ROUND((MOD(F459-E459,1)-N(G459))*24,2))</f>
        <v/>
      </c>
      <c r="L459" s="13">
        <f>IF(OR(H459="",I459=""),"",I459-H459)</f>
        <v/>
      </c>
      <c r="M459" s="13">
        <f>IF(B459="","",IF(J459="Parado - cliente",IFERROR(INDEX(Equipamentos!$D$5:$D$10,MATCH(B459,Equipamentos!$A$5:$A$10,0)),0),IF(OR(J459="Parado - manutenção",J459="Sem serviço"),0,MAX(N(K459),IFERROR(INDEX(Equipamentos!$D$5:$D$10,MATCH(B459,Equipamentos!$A$5:$A$10,0)),0)))))</f>
        <v/>
      </c>
      <c r="N459" s="14">
        <f>IF(B459="","",IFERROR(INDEX(Equipamentos!$C$5:$C$10,MATCH(B459,Equipamentos!$A$5:$A$10,0)),0))</f>
        <v/>
      </c>
      <c r="O459" s="14">
        <f>IF(B459="","",M459*N459)</f>
        <v/>
      </c>
      <c r="P459" s="9" t="n"/>
    </row>
    <row r="460">
      <c r="A460" s="15" t="n"/>
      <c r="B460" s="9" t="n"/>
      <c r="C460" s="9" t="n"/>
      <c r="D460" s="9" t="n"/>
      <c r="E460" s="16" t="n"/>
      <c r="F460" s="16" t="n"/>
      <c r="G460" s="16" t="n"/>
      <c r="H460" s="17" t="n"/>
      <c r="I460" s="17" t="n"/>
      <c r="J460" s="9" t="n"/>
      <c r="K460" s="13">
        <f>IF(OR(E460="",F460=""),"",ROUND((MOD(F460-E460,1)-N(G460))*24,2))</f>
        <v/>
      </c>
      <c r="L460" s="13">
        <f>IF(OR(H460="",I460=""),"",I460-H460)</f>
        <v/>
      </c>
      <c r="M460" s="13">
        <f>IF(B460="","",IF(J460="Parado - cliente",IFERROR(INDEX(Equipamentos!$D$5:$D$10,MATCH(B460,Equipamentos!$A$5:$A$10,0)),0),IF(OR(J460="Parado - manutenção",J460="Sem serviço"),0,MAX(N(K460),IFERROR(INDEX(Equipamentos!$D$5:$D$10,MATCH(B460,Equipamentos!$A$5:$A$10,0)),0)))))</f>
        <v/>
      </c>
      <c r="N460" s="14">
        <f>IF(B460="","",IFERROR(INDEX(Equipamentos!$C$5:$C$10,MATCH(B460,Equipamentos!$A$5:$A$10,0)),0))</f>
        <v/>
      </c>
      <c r="O460" s="14">
        <f>IF(B460="","",M460*N460)</f>
        <v/>
      </c>
      <c r="P460" s="9" t="n"/>
    </row>
    <row r="461">
      <c r="A461" s="15" t="n"/>
      <c r="B461" s="9" t="n"/>
      <c r="C461" s="9" t="n"/>
      <c r="D461" s="9" t="n"/>
      <c r="E461" s="16" t="n"/>
      <c r="F461" s="16" t="n"/>
      <c r="G461" s="16" t="n"/>
      <c r="H461" s="17" t="n"/>
      <c r="I461" s="17" t="n"/>
      <c r="J461" s="9" t="n"/>
      <c r="K461" s="13">
        <f>IF(OR(E461="",F461=""),"",ROUND((MOD(F461-E461,1)-N(G461))*24,2))</f>
        <v/>
      </c>
      <c r="L461" s="13">
        <f>IF(OR(H461="",I461=""),"",I461-H461)</f>
        <v/>
      </c>
      <c r="M461" s="13">
        <f>IF(B461="","",IF(J461="Parado - cliente",IFERROR(INDEX(Equipamentos!$D$5:$D$10,MATCH(B461,Equipamentos!$A$5:$A$10,0)),0),IF(OR(J461="Parado - manutenção",J461="Sem serviço"),0,MAX(N(K461),IFERROR(INDEX(Equipamentos!$D$5:$D$10,MATCH(B461,Equipamentos!$A$5:$A$10,0)),0)))))</f>
        <v/>
      </c>
      <c r="N461" s="14">
        <f>IF(B461="","",IFERROR(INDEX(Equipamentos!$C$5:$C$10,MATCH(B461,Equipamentos!$A$5:$A$10,0)),0))</f>
        <v/>
      </c>
      <c r="O461" s="14">
        <f>IF(B461="","",M461*N461)</f>
        <v/>
      </c>
      <c r="P461" s="9" t="n"/>
    </row>
    <row r="462">
      <c r="A462" s="15" t="n"/>
      <c r="B462" s="9" t="n"/>
      <c r="C462" s="9" t="n"/>
      <c r="D462" s="9" t="n"/>
      <c r="E462" s="16" t="n"/>
      <c r="F462" s="16" t="n"/>
      <c r="G462" s="16" t="n"/>
      <c r="H462" s="17" t="n"/>
      <c r="I462" s="17" t="n"/>
      <c r="J462" s="9" t="n"/>
      <c r="K462" s="13">
        <f>IF(OR(E462="",F462=""),"",ROUND((MOD(F462-E462,1)-N(G462))*24,2))</f>
        <v/>
      </c>
      <c r="L462" s="13">
        <f>IF(OR(H462="",I462=""),"",I462-H462)</f>
        <v/>
      </c>
      <c r="M462" s="13">
        <f>IF(B462="","",IF(J462="Parado - cliente",IFERROR(INDEX(Equipamentos!$D$5:$D$10,MATCH(B462,Equipamentos!$A$5:$A$10,0)),0),IF(OR(J462="Parado - manutenção",J462="Sem serviço"),0,MAX(N(K462),IFERROR(INDEX(Equipamentos!$D$5:$D$10,MATCH(B462,Equipamentos!$A$5:$A$10,0)),0)))))</f>
        <v/>
      </c>
      <c r="N462" s="14">
        <f>IF(B462="","",IFERROR(INDEX(Equipamentos!$C$5:$C$10,MATCH(B462,Equipamentos!$A$5:$A$10,0)),0))</f>
        <v/>
      </c>
      <c r="O462" s="14">
        <f>IF(B462="","",M462*N462)</f>
        <v/>
      </c>
      <c r="P462" s="9" t="n"/>
    </row>
    <row r="463">
      <c r="A463" s="15" t="n"/>
      <c r="B463" s="9" t="n"/>
      <c r="C463" s="9" t="n"/>
      <c r="D463" s="9" t="n"/>
      <c r="E463" s="16" t="n"/>
      <c r="F463" s="16" t="n"/>
      <c r="G463" s="16" t="n"/>
      <c r="H463" s="17" t="n"/>
      <c r="I463" s="17" t="n"/>
      <c r="J463" s="9" t="n"/>
      <c r="K463" s="13">
        <f>IF(OR(E463="",F463=""),"",ROUND((MOD(F463-E463,1)-N(G463))*24,2))</f>
        <v/>
      </c>
      <c r="L463" s="13">
        <f>IF(OR(H463="",I463=""),"",I463-H463)</f>
        <v/>
      </c>
      <c r="M463" s="13">
        <f>IF(B463="","",IF(J463="Parado - cliente",IFERROR(INDEX(Equipamentos!$D$5:$D$10,MATCH(B463,Equipamentos!$A$5:$A$10,0)),0),IF(OR(J463="Parado - manutenção",J463="Sem serviço"),0,MAX(N(K463),IFERROR(INDEX(Equipamentos!$D$5:$D$10,MATCH(B463,Equipamentos!$A$5:$A$10,0)),0)))))</f>
        <v/>
      </c>
      <c r="N463" s="14">
        <f>IF(B463="","",IFERROR(INDEX(Equipamentos!$C$5:$C$10,MATCH(B463,Equipamentos!$A$5:$A$10,0)),0))</f>
        <v/>
      </c>
      <c r="O463" s="14">
        <f>IF(B463="","",M463*N463)</f>
        <v/>
      </c>
      <c r="P463" s="9" t="n"/>
    </row>
    <row r="464">
      <c r="A464" s="15" t="n"/>
      <c r="B464" s="9" t="n"/>
      <c r="C464" s="9" t="n"/>
      <c r="D464" s="9" t="n"/>
      <c r="E464" s="16" t="n"/>
      <c r="F464" s="16" t="n"/>
      <c r="G464" s="16" t="n"/>
      <c r="H464" s="17" t="n"/>
      <c r="I464" s="17" t="n"/>
      <c r="J464" s="9" t="n"/>
      <c r="K464" s="13">
        <f>IF(OR(E464="",F464=""),"",ROUND((MOD(F464-E464,1)-N(G464))*24,2))</f>
        <v/>
      </c>
      <c r="L464" s="13">
        <f>IF(OR(H464="",I464=""),"",I464-H464)</f>
        <v/>
      </c>
      <c r="M464" s="13">
        <f>IF(B464="","",IF(J464="Parado - cliente",IFERROR(INDEX(Equipamentos!$D$5:$D$10,MATCH(B464,Equipamentos!$A$5:$A$10,0)),0),IF(OR(J464="Parado - manutenção",J464="Sem serviço"),0,MAX(N(K464),IFERROR(INDEX(Equipamentos!$D$5:$D$10,MATCH(B464,Equipamentos!$A$5:$A$10,0)),0)))))</f>
        <v/>
      </c>
      <c r="N464" s="14">
        <f>IF(B464="","",IFERROR(INDEX(Equipamentos!$C$5:$C$10,MATCH(B464,Equipamentos!$A$5:$A$10,0)),0))</f>
        <v/>
      </c>
      <c r="O464" s="14">
        <f>IF(B464="","",M464*N464)</f>
        <v/>
      </c>
      <c r="P464" s="9" t="n"/>
    </row>
    <row r="465">
      <c r="A465" s="15" t="n"/>
      <c r="B465" s="9" t="n"/>
      <c r="C465" s="9" t="n"/>
      <c r="D465" s="9" t="n"/>
      <c r="E465" s="16" t="n"/>
      <c r="F465" s="16" t="n"/>
      <c r="G465" s="16" t="n"/>
      <c r="H465" s="17" t="n"/>
      <c r="I465" s="17" t="n"/>
      <c r="J465" s="9" t="n"/>
      <c r="K465" s="13">
        <f>IF(OR(E465="",F465=""),"",ROUND((MOD(F465-E465,1)-N(G465))*24,2))</f>
        <v/>
      </c>
      <c r="L465" s="13">
        <f>IF(OR(H465="",I465=""),"",I465-H465)</f>
        <v/>
      </c>
      <c r="M465" s="13">
        <f>IF(B465="","",IF(J465="Parado - cliente",IFERROR(INDEX(Equipamentos!$D$5:$D$10,MATCH(B465,Equipamentos!$A$5:$A$10,0)),0),IF(OR(J465="Parado - manutenção",J465="Sem serviço"),0,MAX(N(K465),IFERROR(INDEX(Equipamentos!$D$5:$D$10,MATCH(B465,Equipamentos!$A$5:$A$10,0)),0)))))</f>
        <v/>
      </c>
      <c r="N465" s="14">
        <f>IF(B465="","",IFERROR(INDEX(Equipamentos!$C$5:$C$10,MATCH(B465,Equipamentos!$A$5:$A$10,0)),0))</f>
        <v/>
      </c>
      <c r="O465" s="14">
        <f>IF(B465="","",M465*N465)</f>
        <v/>
      </c>
      <c r="P465" s="9" t="n"/>
    </row>
    <row r="466">
      <c r="A466" s="15" t="n"/>
      <c r="B466" s="9" t="n"/>
      <c r="C466" s="9" t="n"/>
      <c r="D466" s="9" t="n"/>
      <c r="E466" s="16" t="n"/>
      <c r="F466" s="16" t="n"/>
      <c r="G466" s="16" t="n"/>
      <c r="H466" s="17" t="n"/>
      <c r="I466" s="17" t="n"/>
      <c r="J466" s="9" t="n"/>
      <c r="K466" s="13">
        <f>IF(OR(E466="",F466=""),"",ROUND((MOD(F466-E466,1)-N(G466))*24,2))</f>
        <v/>
      </c>
      <c r="L466" s="13">
        <f>IF(OR(H466="",I466=""),"",I466-H466)</f>
        <v/>
      </c>
      <c r="M466" s="13">
        <f>IF(B466="","",IF(J466="Parado - cliente",IFERROR(INDEX(Equipamentos!$D$5:$D$10,MATCH(B466,Equipamentos!$A$5:$A$10,0)),0),IF(OR(J466="Parado - manutenção",J466="Sem serviço"),0,MAX(N(K466),IFERROR(INDEX(Equipamentos!$D$5:$D$10,MATCH(B466,Equipamentos!$A$5:$A$10,0)),0)))))</f>
        <v/>
      </c>
      <c r="N466" s="14">
        <f>IF(B466="","",IFERROR(INDEX(Equipamentos!$C$5:$C$10,MATCH(B466,Equipamentos!$A$5:$A$10,0)),0))</f>
        <v/>
      </c>
      <c r="O466" s="14">
        <f>IF(B466="","",M466*N466)</f>
        <v/>
      </c>
      <c r="P466" s="9" t="n"/>
    </row>
    <row r="467">
      <c r="A467" s="15" t="n"/>
      <c r="B467" s="9" t="n"/>
      <c r="C467" s="9" t="n"/>
      <c r="D467" s="9" t="n"/>
      <c r="E467" s="16" t="n"/>
      <c r="F467" s="16" t="n"/>
      <c r="G467" s="16" t="n"/>
      <c r="H467" s="17" t="n"/>
      <c r="I467" s="17" t="n"/>
      <c r="J467" s="9" t="n"/>
      <c r="K467" s="13">
        <f>IF(OR(E467="",F467=""),"",ROUND((MOD(F467-E467,1)-N(G467))*24,2))</f>
        <v/>
      </c>
      <c r="L467" s="13">
        <f>IF(OR(H467="",I467=""),"",I467-H467)</f>
        <v/>
      </c>
      <c r="M467" s="13">
        <f>IF(B467="","",IF(J467="Parado - cliente",IFERROR(INDEX(Equipamentos!$D$5:$D$10,MATCH(B467,Equipamentos!$A$5:$A$10,0)),0),IF(OR(J467="Parado - manutenção",J467="Sem serviço"),0,MAX(N(K467),IFERROR(INDEX(Equipamentos!$D$5:$D$10,MATCH(B467,Equipamentos!$A$5:$A$10,0)),0)))))</f>
        <v/>
      </c>
      <c r="N467" s="14">
        <f>IF(B467="","",IFERROR(INDEX(Equipamentos!$C$5:$C$10,MATCH(B467,Equipamentos!$A$5:$A$10,0)),0))</f>
        <v/>
      </c>
      <c r="O467" s="14">
        <f>IF(B467="","",M467*N467)</f>
        <v/>
      </c>
      <c r="P467" s="9" t="n"/>
    </row>
    <row r="468">
      <c r="A468" s="15" t="n"/>
      <c r="B468" s="9" t="n"/>
      <c r="C468" s="9" t="n"/>
      <c r="D468" s="9" t="n"/>
      <c r="E468" s="16" t="n"/>
      <c r="F468" s="16" t="n"/>
      <c r="G468" s="16" t="n"/>
      <c r="H468" s="17" t="n"/>
      <c r="I468" s="17" t="n"/>
      <c r="J468" s="9" t="n"/>
      <c r="K468" s="13">
        <f>IF(OR(E468="",F468=""),"",ROUND((MOD(F468-E468,1)-N(G468))*24,2))</f>
        <v/>
      </c>
      <c r="L468" s="13">
        <f>IF(OR(H468="",I468=""),"",I468-H468)</f>
        <v/>
      </c>
      <c r="M468" s="13">
        <f>IF(B468="","",IF(J468="Parado - cliente",IFERROR(INDEX(Equipamentos!$D$5:$D$10,MATCH(B468,Equipamentos!$A$5:$A$10,0)),0),IF(OR(J468="Parado - manutenção",J468="Sem serviço"),0,MAX(N(K468),IFERROR(INDEX(Equipamentos!$D$5:$D$10,MATCH(B468,Equipamentos!$A$5:$A$10,0)),0)))))</f>
        <v/>
      </c>
      <c r="N468" s="14">
        <f>IF(B468="","",IFERROR(INDEX(Equipamentos!$C$5:$C$10,MATCH(B468,Equipamentos!$A$5:$A$10,0)),0))</f>
        <v/>
      </c>
      <c r="O468" s="14">
        <f>IF(B468="","",M468*N468)</f>
        <v/>
      </c>
      <c r="P468" s="9" t="n"/>
    </row>
    <row r="469">
      <c r="A469" s="15" t="n"/>
      <c r="B469" s="9" t="n"/>
      <c r="C469" s="9" t="n"/>
      <c r="D469" s="9" t="n"/>
      <c r="E469" s="16" t="n"/>
      <c r="F469" s="16" t="n"/>
      <c r="G469" s="16" t="n"/>
      <c r="H469" s="17" t="n"/>
      <c r="I469" s="17" t="n"/>
      <c r="J469" s="9" t="n"/>
      <c r="K469" s="13">
        <f>IF(OR(E469="",F469=""),"",ROUND((MOD(F469-E469,1)-N(G469))*24,2))</f>
        <v/>
      </c>
      <c r="L469" s="13">
        <f>IF(OR(H469="",I469=""),"",I469-H469)</f>
        <v/>
      </c>
      <c r="M469" s="13">
        <f>IF(B469="","",IF(J469="Parado - cliente",IFERROR(INDEX(Equipamentos!$D$5:$D$10,MATCH(B469,Equipamentos!$A$5:$A$10,0)),0),IF(OR(J469="Parado - manutenção",J469="Sem serviço"),0,MAX(N(K469),IFERROR(INDEX(Equipamentos!$D$5:$D$10,MATCH(B469,Equipamentos!$A$5:$A$10,0)),0)))))</f>
        <v/>
      </c>
      <c r="N469" s="14">
        <f>IF(B469="","",IFERROR(INDEX(Equipamentos!$C$5:$C$10,MATCH(B469,Equipamentos!$A$5:$A$10,0)),0))</f>
        <v/>
      </c>
      <c r="O469" s="14">
        <f>IF(B469="","",M469*N469)</f>
        <v/>
      </c>
      <c r="P469" s="9" t="n"/>
    </row>
    <row r="470">
      <c r="A470" s="15" t="n"/>
      <c r="B470" s="9" t="n"/>
      <c r="C470" s="9" t="n"/>
      <c r="D470" s="9" t="n"/>
      <c r="E470" s="16" t="n"/>
      <c r="F470" s="16" t="n"/>
      <c r="G470" s="16" t="n"/>
      <c r="H470" s="17" t="n"/>
      <c r="I470" s="17" t="n"/>
      <c r="J470" s="9" t="n"/>
      <c r="K470" s="13">
        <f>IF(OR(E470="",F470=""),"",ROUND((MOD(F470-E470,1)-N(G470))*24,2))</f>
        <v/>
      </c>
      <c r="L470" s="13">
        <f>IF(OR(H470="",I470=""),"",I470-H470)</f>
        <v/>
      </c>
      <c r="M470" s="13">
        <f>IF(B470="","",IF(J470="Parado - cliente",IFERROR(INDEX(Equipamentos!$D$5:$D$10,MATCH(B470,Equipamentos!$A$5:$A$10,0)),0),IF(OR(J470="Parado - manutenção",J470="Sem serviço"),0,MAX(N(K470),IFERROR(INDEX(Equipamentos!$D$5:$D$10,MATCH(B470,Equipamentos!$A$5:$A$10,0)),0)))))</f>
        <v/>
      </c>
      <c r="N470" s="14">
        <f>IF(B470="","",IFERROR(INDEX(Equipamentos!$C$5:$C$10,MATCH(B470,Equipamentos!$A$5:$A$10,0)),0))</f>
        <v/>
      </c>
      <c r="O470" s="14">
        <f>IF(B470="","",M470*N470)</f>
        <v/>
      </c>
      <c r="P470" s="9" t="n"/>
    </row>
    <row r="471">
      <c r="A471" s="15" t="n"/>
      <c r="B471" s="9" t="n"/>
      <c r="C471" s="9" t="n"/>
      <c r="D471" s="9" t="n"/>
      <c r="E471" s="16" t="n"/>
      <c r="F471" s="16" t="n"/>
      <c r="G471" s="16" t="n"/>
      <c r="H471" s="17" t="n"/>
      <c r="I471" s="17" t="n"/>
      <c r="J471" s="9" t="n"/>
      <c r="K471" s="13">
        <f>IF(OR(E471="",F471=""),"",ROUND((MOD(F471-E471,1)-N(G471))*24,2))</f>
        <v/>
      </c>
      <c r="L471" s="13">
        <f>IF(OR(H471="",I471=""),"",I471-H471)</f>
        <v/>
      </c>
      <c r="M471" s="13">
        <f>IF(B471="","",IF(J471="Parado - cliente",IFERROR(INDEX(Equipamentos!$D$5:$D$10,MATCH(B471,Equipamentos!$A$5:$A$10,0)),0),IF(OR(J471="Parado - manutenção",J471="Sem serviço"),0,MAX(N(K471),IFERROR(INDEX(Equipamentos!$D$5:$D$10,MATCH(B471,Equipamentos!$A$5:$A$10,0)),0)))))</f>
        <v/>
      </c>
      <c r="N471" s="14">
        <f>IF(B471="","",IFERROR(INDEX(Equipamentos!$C$5:$C$10,MATCH(B471,Equipamentos!$A$5:$A$10,0)),0))</f>
        <v/>
      </c>
      <c r="O471" s="14">
        <f>IF(B471="","",M471*N471)</f>
        <v/>
      </c>
      <c r="P471" s="9" t="n"/>
    </row>
    <row r="472">
      <c r="A472" s="15" t="n"/>
      <c r="B472" s="9" t="n"/>
      <c r="C472" s="9" t="n"/>
      <c r="D472" s="9" t="n"/>
      <c r="E472" s="16" t="n"/>
      <c r="F472" s="16" t="n"/>
      <c r="G472" s="16" t="n"/>
      <c r="H472" s="17" t="n"/>
      <c r="I472" s="17" t="n"/>
      <c r="J472" s="9" t="n"/>
      <c r="K472" s="13">
        <f>IF(OR(E472="",F472=""),"",ROUND((MOD(F472-E472,1)-N(G472))*24,2))</f>
        <v/>
      </c>
      <c r="L472" s="13">
        <f>IF(OR(H472="",I472=""),"",I472-H472)</f>
        <v/>
      </c>
      <c r="M472" s="13">
        <f>IF(B472="","",IF(J472="Parado - cliente",IFERROR(INDEX(Equipamentos!$D$5:$D$10,MATCH(B472,Equipamentos!$A$5:$A$10,0)),0),IF(OR(J472="Parado - manutenção",J472="Sem serviço"),0,MAX(N(K472),IFERROR(INDEX(Equipamentos!$D$5:$D$10,MATCH(B472,Equipamentos!$A$5:$A$10,0)),0)))))</f>
        <v/>
      </c>
      <c r="N472" s="14">
        <f>IF(B472="","",IFERROR(INDEX(Equipamentos!$C$5:$C$10,MATCH(B472,Equipamentos!$A$5:$A$10,0)),0))</f>
        <v/>
      </c>
      <c r="O472" s="14">
        <f>IF(B472="","",M472*N472)</f>
        <v/>
      </c>
      <c r="P472" s="9" t="n"/>
    </row>
    <row r="473">
      <c r="A473" s="15" t="n"/>
      <c r="B473" s="9" t="n"/>
      <c r="C473" s="9" t="n"/>
      <c r="D473" s="9" t="n"/>
      <c r="E473" s="16" t="n"/>
      <c r="F473" s="16" t="n"/>
      <c r="G473" s="16" t="n"/>
      <c r="H473" s="17" t="n"/>
      <c r="I473" s="17" t="n"/>
      <c r="J473" s="9" t="n"/>
      <c r="K473" s="13">
        <f>IF(OR(E473="",F473=""),"",ROUND((MOD(F473-E473,1)-N(G473))*24,2))</f>
        <v/>
      </c>
      <c r="L473" s="13">
        <f>IF(OR(H473="",I473=""),"",I473-H473)</f>
        <v/>
      </c>
      <c r="M473" s="13">
        <f>IF(B473="","",IF(J473="Parado - cliente",IFERROR(INDEX(Equipamentos!$D$5:$D$10,MATCH(B473,Equipamentos!$A$5:$A$10,0)),0),IF(OR(J473="Parado - manutenção",J473="Sem serviço"),0,MAX(N(K473),IFERROR(INDEX(Equipamentos!$D$5:$D$10,MATCH(B473,Equipamentos!$A$5:$A$10,0)),0)))))</f>
        <v/>
      </c>
      <c r="N473" s="14">
        <f>IF(B473="","",IFERROR(INDEX(Equipamentos!$C$5:$C$10,MATCH(B473,Equipamentos!$A$5:$A$10,0)),0))</f>
        <v/>
      </c>
      <c r="O473" s="14">
        <f>IF(B473="","",M473*N473)</f>
        <v/>
      </c>
      <c r="P473" s="9" t="n"/>
    </row>
    <row r="474">
      <c r="A474" s="15" t="n"/>
      <c r="B474" s="9" t="n"/>
      <c r="C474" s="9" t="n"/>
      <c r="D474" s="9" t="n"/>
      <c r="E474" s="16" t="n"/>
      <c r="F474" s="16" t="n"/>
      <c r="G474" s="16" t="n"/>
      <c r="H474" s="17" t="n"/>
      <c r="I474" s="17" t="n"/>
      <c r="J474" s="9" t="n"/>
      <c r="K474" s="13">
        <f>IF(OR(E474="",F474=""),"",ROUND((MOD(F474-E474,1)-N(G474))*24,2))</f>
        <v/>
      </c>
      <c r="L474" s="13">
        <f>IF(OR(H474="",I474=""),"",I474-H474)</f>
        <v/>
      </c>
      <c r="M474" s="13">
        <f>IF(B474="","",IF(J474="Parado - cliente",IFERROR(INDEX(Equipamentos!$D$5:$D$10,MATCH(B474,Equipamentos!$A$5:$A$10,0)),0),IF(OR(J474="Parado - manutenção",J474="Sem serviço"),0,MAX(N(K474),IFERROR(INDEX(Equipamentos!$D$5:$D$10,MATCH(B474,Equipamentos!$A$5:$A$10,0)),0)))))</f>
        <v/>
      </c>
      <c r="N474" s="14">
        <f>IF(B474="","",IFERROR(INDEX(Equipamentos!$C$5:$C$10,MATCH(B474,Equipamentos!$A$5:$A$10,0)),0))</f>
        <v/>
      </c>
      <c r="O474" s="14">
        <f>IF(B474="","",M474*N474)</f>
        <v/>
      </c>
      <c r="P474" s="9" t="n"/>
    </row>
    <row r="475">
      <c r="A475" s="15" t="n"/>
      <c r="B475" s="9" t="n"/>
      <c r="C475" s="9" t="n"/>
      <c r="D475" s="9" t="n"/>
      <c r="E475" s="16" t="n"/>
      <c r="F475" s="16" t="n"/>
      <c r="G475" s="16" t="n"/>
      <c r="H475" s="17" t="n"/>
      <c r="I475" s="17" t="n"/>
      <c r="J475" s="9" t="n"/>
      <c r="K475" s="13">
        <f>IF(OR(E475="",F475=""),"",ROUND((MOD(F475-E475,1)-N(G475))*24,2))</f>
        <v/>
      </c>
      <c r="L475" s="13">
        <f>IF(OR(H475="",I475=""),"",I475-H475)</f>
        <v/>
      </c>
      <c r="M475" s="13">
        <f>IF(B475="","",IF(J475="Parado - cliente",IFERROR(INDEX(Equipamentos!$D$5:$D$10,MATCH(B475,Equipamentos!$A$5:$A$10,0)),0),IF(OR(J475="Parado - manutenção",J475="Sem serviço"),0,MAX(N(K475),IFERROR(INDEX(Equipamentos!$D$5:$D$10,MATCH(B475,Equipamentos!$A$5:$A$10,0)),0)))))</f>
        <v/>
      </c>
      <c r="N475" s="14">
        <f>IF(B475="","",IFERROR(INDEX(Equipamentos!$C$5:$C$10,MATCH(B475,Equipamentos!$A$5:$A$10,0)),0))</f>
        <v/>
      </c>
      <c r="O475" s="14">
        <f>IF(B475="","",M475*N475)</f>
        <v/>
      </c>
      <c r="P475" s="9" t="n"/>
    </row>
    <row r="476">
      <c r="A476" s="15" t="n"/>
      <c r="B476" s="9" t="n"/>
      <c r="C476" s="9" t="n"/>
      <c r="D476" s="9" t="n"/>
      <c r="E476" s="16" t="n"/>
      <c r="F476" s="16" t="n"/>
      <c r="G476" s="16" t="n"/>
      <c r="H476" s="17" t="n"/>
      <c r="I476" s="17" t="n"/>
      <c r="J476" s="9" t="n"/>
      <c r="K476" s="13">
        <f>IF(OR(E476="",F476=""),"",ROUND((MOD(F476-E476,1)-N(G476))*24,2))</f>
        <v/>
      </c>
      <c r="L476" s="13">
        <f>IF(OR(H476="",I476=""),"",I476-H476)</f>
        <v/>
      </c>
      <c r="M476" s="13">
        <f>IF(B476="","",IF(J476="Parado - cliente",IFERROR(INDEX(Equipamentos!$D$5:$D$10,MATCH(B476,Equipamentos!$A$5:$A$10,0)),0),IF(OR(J476="Parado - manutenção",J476="Sem serviço"),0,MAX(N(K476),IFERROR(INDEX(Equipamentos!$D$5:$D$10,MATCH(B476,Equipamentos!$A$5:$A$10,0)),0)))))</f>
        <v/>
      </c>
      <c r="N476" s="14">
        <f>IF(B476="","",IFERROR(INDEX(Equipamentos!$C$5:$C$10,MATCH(B476,Equipamentos!$A$5:$A$10,0)),0))</f>
        <v/>
      </c>
      <c r="O476" s="14">
        <f>IF(B476="","",M476*N476)</f>
        <v/>
      </c>
      <c r="P476" s="9" t="n"/>
    </row>
    <row r="477">
      <c r="A477" s="15" t="n"/>
      <c r="B477" s="9" t="n"/>
      <c r="C477" s="9" t="n"/>
      <c r="D477" s="9" t="n"/>
      <c r="E477" s="16" t="n"/>
      <c r="F477" s="16" t="n"/>
      <c r="G477" s="16" t="n"/>
      <c r="H477" s="17" t="n"/>
      <c r="I477" s="17" t="n"/>
      <c r="J477" s="9" t="n"/>
      <c r="K477" s="13">
        <f>IF(OR(E477="",F477=""),"",ROUND((MOD(F477-E477,1)-N(G477))*24,2))</f>
        <v/>
      </c>
      <c r="L477" s="13">
        <f>IF(OR(H477="",I477=""),"",I477-H477)</f>
        <v/>
      </c>
      <c r="M477" s="13">
        <f>IF(B477="","",IF(J477="Parado - cliente",IFERROR(INDEX(Equipamentos!$D$5:$D$10,MATCH(B477,Equipamentos!$A$5:$A$10,0)),0),IF(OR(J477="Parado - manutenção",J477="Sem serviço"),0,MAX(N(K477),IFERROR(INDEX(Equipamentos!$D$5:$D$10,MATCH(B477,Equipamentos!$A$5:$A$10,0)),0)))))</f>
        <v/>
      </c>
      <c r="N477" s="14">
        <f>IF(B477="","",IFERROR(INDEX(Equipamentos!$C$5:$C$10,MATCH(B477,Equipamentos!$A$5:$A$10,0)),0))</f>
        <v/>
      </c>
      <c r="O477" s="14">
        <f>IF(B477="","",M477*N477)</f>
        <v/>
      </c>
      <c r="P477" s="9" t="n"/>
    </row>
    <row r="478">
      <c r="A478" s="15" t="n"/>
      <c r="B478" s="9" t="n"/>
      <c r="C478" s="9" t="n"/>
      <c r="D478" s="9" t="n"/>
      <c r="E478" s="16" t="n"/>
      <c r="F478" s="16" t="n"/>
      <c r="G478" s="16" t="n"/>
      <c r="H478" s="17" t="n"/>
      <c r="I478" s="17" t="n"/>
      <c r="J478" s="9" t="n"/>
      <c r="K478" s="13">
        <f>IF(OR(E478="",F478=""),"",ROUND((MOD(F478-E478,1)-N(G478))*24,2))</f>
        <v/>
      </c>
      <c r="L478" s="13">
        <f>IF(OR(H478="",I478=""),"",I478-H478)</f>
        <v/>
      </c>
      <c r="M478" s="13">
        <f>IF(B478="","",IF(J478="Parado - cliente",IFERROR(INDEX(Equipamentos!$D$5:$D$10,MATCH(B478,Equipamentos!$A$5:$A$10,0)),0),IF(OR(J478="Parado - manutenção",J478="Sem serviço"),0,MAX(N(K478),IFERROR(INDEX(Equipamentos!$D$5:$D$10,MATCH(B478,Equipamentos!$A$5:$A$10,0)),0)))))</f>
        <v/>
      </c>
      <c r="N478" s="14">
        <f>IF(B478="","",IFERROR(INDEX(Equipamentos!$C$5:$C$10,MATCH(B478,Equipamentos!$A$5:$A$10,0)),0))</f>
        <v/>
      </c>
      <c r="O478" s="14">
        <f>IF(B478="","",M478*N478)</f>
        <v/>
      </c>
      <c r="P478" s="9" t="n"/>
    </row>
    <row r="479">
      <c r="A479" s="15" t="n"/>
      <c r="B479" s="9" t="n"/>
      <c r="C479" s="9" t="n"/>
      <c r="D479" s="9" t="n"/>
      <c r="E479" s="16" t="n"/>
      <c r="F479" s="16" t="n"/>
      <c r="G479" s="16" t="n"/>
      <c r="H479" s="17" t="n"/>
      <c r="I479" s="17" t="n"/>
      <c r="J479" s="9" t="n"/>
      <c r="K479" s="13">
        <f>IF(OR(E479="",F479=""),"",ROUND((MOD(F479-E479,1)-N(G479))*24,2))</f>
        <v/>
      </c>
      <c r="L479" s="13">
        <f>IF(OR(H479="",I479=""),"",I479-H479)</f>
        <v/>
      </c>
      <c r="M479" s="13">
        <f>IF(B479="","",IF(J479="Parado - cliente",IFERROR(INDEX(Equipamentos!$D$5:$D$10,MATCH(B479,Equipamentos!$A$5:$A$10,0)),0),IF(OR(J479="Parado - manutenção",J479="Sem serviço"),0,MAX(N(K479),IFERROR(INDEX(Equipamentos!$D$5:$D$10,MATCH(B479,Equipamentos!$A$5:$A$10,0)),0)))))</f>
        <v/>
      </c>
      <c r="N479" s="14">
        <f>IF(B479="","",IFERROR(INDEX(Equipamentos!$C$5:$C$10,MATCH(B479,Equipamentos!$A$5:$A$10,0)),0))</f>
        <v/>
      </c>
      <c r="O479" s="14">
        <f>IF(B479="","",M479*N479)</f>
        <v/>
      </c>
      <c r="P479" s="9" t="n"/>
    </row>
    <row r="480">
      <c r="A480" s="15" t="n"/>
      <c r="B480" s="9" t="n"/>
      <c r="C480" s="9" t="n"/>
      <c r="D480" s="9" t="n"/>
      <c r="E480" s="16" t="n"/>
      <c r="F480" s="16" t="n"/>
      <c r="G480" s="16" t="n"/>
      <c r="H480" s="17" t="n"/>
      <c r="I480" s="17" t="n"/>
      <c r="J480" s="9" t="n"/>
      <c r="K480" s="13">
        <f>IF(OR(E480="",F480=""),"",ROUND((MOD(F480-E480,1)-N(G480))*24,2))</f>
        <v/>
      </c>
      <c r="L480" s="13">
        <f>IF(OR(H480="",I480=""),"",I480-H480)</f>
        <v/>
      </c>
      <c r="M480" s="13">
        <f>IF(B480="","",IF(J480="Parado - cliente",IFERROR(INDEX(Equipamentos!$D$5:$D$10,MATCH(B480,Equipamentos!$A$5:$A$10,0)),0),IF(OR(J480="Parado - manutenção",J480="Sem serviço"),0,MAX(N(K480),IFERROR(INDEX(Equipamentos!$D$5:$D$10,MATCH(B480,Equipamentos!$A$5:$A$10,0)),0)))))</f>
        <v/>
      </c>
      <c r="N480" s="14">
        <f>IF(B480="","",IFERROR(INDEX(Equipamentos!$C$5:$C$10,MATCH(B480,Equipamentos!$A$5:$A$10,0)),0))</f>
        <v/>
      </c>
      <c r="O480" s="14">
        <f>IF(B480="","",M480*N480)</f>
        <v/>
      </c>
      <c r="P480" s="9" t="n"/>
    </row>
    <row r="481">
      <c r="A481" s="15" t="n"/>
      <c r="B481" s="9" t="n"/>
      <c r="C481" s="9" t="n"/>
      <c r="D481" s="9" t="n"/>
      <c r="E481" s="16" t="n"/>
      <c r="F481" s="16" t="n"/>
      <c r="G481" s="16" t="n"/>
      <c r="H481" s="17" t="n"/>
      <c r="I481" s="17" t="n"/>
      <c r="J481" s="9" t="n"/>
      <c r="K481" s="13">
        <f>IF(OR(E481="",F481=""),"",ROUND((MOD(F481-E481,1)-N(G481))*24,2))</f>
        <v/>
      </c>
      <c r="L481" s="13">
        <f>IF(OR(H481="",I481=""),"",I481-H481)</f>
        <v/>
      </c>
      <c r="M481" s="13">
        <f>IF(B481="","",IF(J481="Parado - cliente",IFERROR(INDEX(Equipamentos!$D$5:$D$10,MATCH(B481,Equipamentos!$A$5:$A$10,0)),0),IF(OR(J481="Parado - manutenção",J481="Sem serviço"),0,MAX(N(K481),IFERROR(INDEX(Equipamentos!$D$5:$D$10,MATCH(B481,Equipamentos!$A$5:$A$10,0)),0)))))</f>
        <v/>
      </c>
      <c r="N481" s="14">
        <f>IF(B481="","",IFERROR(INDEX(Equipamentos!$C$5:$C$10,MATCH(B481,Equipamentos!$A$5:$A$10,0)),0))</f>
        <v/>
      </c>
      <c r="O481" s="14">
        <f>IF(B481="","",M481*N481)</f>
        <v/>
      </c>
      <c r="P481" s="9" t="n"/>
    </row>
    <row r="482">
      <c r="A482" s="15" t="n"/>
      <c r="B482" s="9" t="n"/>
      <c r="C482" s="9" t="n"/>
      <c r="D482" s="9" t="n"/>
      <c r="E482" s="16" t="n"/>
      <c r="F482" s="16" t="n"/>
      <c r="G482" s="16" t="n"/>
      <c r="H482" s="17" t="n"/>
      <c r="I482" s="17" t="n"/>
      <c r="J482" s="9" t="n"/>
      <c r="K482" s="13">
        <f>IF(OR(E482="",F482=""),"",ROUND((MOD(F482-E482,1)-N(G482))*24,2))</f>
        <v/>
      </c>
      <c r="L482" s="13">
        <f>IF(OR(H482="",I482=""),"",I482-H482)</f>
        <v/>
      </c>
      <c r="M482" s="13">
        <f>IF(B482="","",IF(J482="Parado - cliente",IFERROR(INDEX(Equipamentos!$D$5:$D$10,MATCH(B482,Equipamentos!$A$5:$A$10,0)),0),IF(OR(J482="Parado - manutenção",J482="Sem serviço"),0,MAX(N(K482),IFERROR(INDEX(Equipamentos!$D$5:$D$10,MATCH(B482,Equipamentos!$A$5:$A$10,0)),0)))))</f>
        <v/>
      </c>
      <c r="N482" s="14">
        <f>IF(B482="","",IFERROR(INDEX(Equipamentos!$C$5:$C$10,MATCH(B482,Equipamentos!$A$5:$A$10,0)),0))</f>
        <v/>
      </c>
      <c r="O482" s="14">
        <f>IF(B482="","",M482*N482)</f>
        <v/>
      </c>
      <c r="P482" s="9" t="n"/>
    </row>
    <row r="483">
      <c r="A483" s="15" t="n"/>
      <c r="B483" s="9" t="n"/>
      <c r="C483" s="9" t="n"/>
      <c r="D483" s="9" t="n"/>
      <c r="E483" s="16" t="n"/>
      <c r="F483" s="16" t="n"/>
      <c r="G483" s="16" t="n"/>
      <c r="H483" s="17" t="n"/>
      <c r="I483" s="17" t="n"/>
      <c r="J483" s="9" t="n"/>
      <c r="K483" s="13">
        <f>IF(OR(E483="",F483=""),"",ROUND((MOD(F483-E483,1)-N(G483))*24,2))</f>
        <v/>
      </c>
      <c r="L483" s="13">
        <f>IF(OR(H483="",I483=""),"",I483-H483)</f>
        <v/>
      </c>
      <c r="M483" s="13">
        <f>IF(B483="","",IF(J483="Parado - cliente",IFERROR(INDEX(Equipamentos!$D$5:$D$10,MATCH(B483,Equipamentos!$A$5:$A$10,0)),0),IF(OR(J483="Parado - manutenção",J483="Sem serviço"),0,MAX(N(K483),IFERROR(INDEX(Equipamentos!$D$5:$D$10,MATCH(B483,Equipamentos!$A$5:$A$10,0)),0)))))</f>
        <v/>
      </c>
      <c r="N483" s="14">
        <f>IF(B483="","",IFERROR(INDEX(Equipamentos!$C$5:$C$10,MATCH(B483,Equipamentos!$A$5:$A$10,0)),0))</f>
        <v/>
      </c>
      <c r="O483" s="14">
        <f>IF(B483="","",M483*N483)</f>
        <v/>
      </c>
      <c r="P483" s="9" t="n"/>
    </row>
    <row r="484">
      <c r="A484" s="15" t="n"/>
      <c r="B484" s="9" t="n"/>
      <c r="C484" s="9" t="n"/>
      <c r="D484" s="9" t="n"/>
      <c r="E484" s="16" t="n"/>
      <c r="F484" s="16" t="n"/>
      <c r="G484" s="16" t="n"/>
      <c r="H484" s="17" t="n"/>
      <c r="I484" s="17" t="n"/>
      <c r="J484" s="9" t="n"/>
      <c r="K484" s="13">
        <f>IF(OR(E484="",F484=""),"",ROUND((MOD(F484-E484,1)-N(G484))*24,2))</f>
        <v/>
      </c>
      <c r="L484" s="13">
        <f>IF(OR(H484="",I484=""),"",I484-H484)</f>
        <v/>
      </c>
      <c r="M484" s="13">
        <f>IF(B484="","",IF(J484="Parado - cliente",IFERROR(INDEX(Equipamentos!$D$5:$D$10,MATCH(B484,Equipamentos!$A$5:$A$10,0)),0),IF(OR(J484="Parado - manutenção",J484="Sem serviço"),0,MAX(N(K484),IFERROR(INDEX(Equipamentos!$D$5:$D$10,MATCH(B484,Equipamentos!$A$5:$A$10,0)),0)))))</f>
        <v/>
      </c>
      <c r="N484" s="14">
        <f>IF(B484="","",IFERROR(INDEX(Equipamentos!$C$5:$C$10,MATCH(B484,Equipamentos!$A$5:$A$10,0)),0))</f>
        <v/>
      </c>
      <c r="O484" s="14">
        <f>IF(B484="","",M484*N484)</f>
        <v/>
      </c>
      <c r="P484" s="9" t="n"/>
    </row>
    <row r="485">
      <c r="A485" s="15" t="n"/>
      <c r="B485" s="9" t="n"/>
      <c r="C485" s="9" t="n"/>
      <c r="D485" s="9" t="n"/>
      <c r="E485" s="16" t="n"/>
      <c r="F485" s="16" t="n"/>
      <c r="G485" s="16" t="n"/>
      <c r="H485" s="17" t="n"/>
      <c r="I485" s="17" t="n"/>
      <c r="J485" s="9" t="n"/>
      <c r="K485" s="13">
        <f>IF(OR(E485="",F485=""),"",ROUND((MOD(F485-E485,1)-N(G485))*24,2))</f>
        <v/>
      </c>
      <c r="L485" s="13">
        <f>IF(OR(H485="",I485=""),"",I485-H485)</f>
        <v/>
      </c>
      <c r="M485" s="13">
        <f>IF(B485="","",IF(J485="Parado - cliente",IFERROR(INDEX(Equipamentos!$D$5:$D$10,MATCH(B485,Equipamentos!$A$5:$A$10,0)),0),IF(OR(J485="Parado - manutenção",J485="Sem serviço"),0,MAX(N(K485),IFERROR(INDEX(Equipamentos!$D$5:$D$10,MATCH(B485,Equipamentos!$A$5:$A$10,0)),0)))))</f>
        <v/>
      </c>
      <c r="N485" s="14">
        <f>IF(B485="","",IFERROR(INDEX(Equipamentos!$C$5:$C$10,MATCH(B485,Equipamentos!$A$5:$A$10,0)),0))</f>
        <v/>
      </c>
      <c r="O485" s="14">
        <f>IF(B485="","",M485*N485)</f>
        <v/>
      </c>
      <c r="P485" s="9" t="n"/>
    </row>
    <row r="486">
      <c r="A486" s="15" t="n"/>
      <c r="B486" s="9" t="n"/>
      <c r="C486" s="9" t="n"/>
      <c r="D486" s="9" t="n"/>
      <c r="E486" s="16" t="n"/>
      <c r="F486" s="16" t="n"/>
      <c r="G486" s="16" t="n"/>
      <c r="H486" s="17" t="n"/>
      <c r="I486" s="17" t="n"/>
      <c r="J486" s="9" t="n"/>
      <c r="K486" s="13">
        <f>IF(OR(E486="",F486=""),"",ROUND((MOD(F486-E486,1)-N(G486))*24,2))</f>
        <v/>
      </c>
      <c r="L486" s="13">
        <f>IF(OR(H486="",I486=""),"",I486-H486)</f>
        <v/>
      </c>
      <c r="M486" s="13">
        <f>IF(B486="","",IF(J486="Parado - cliente",IFERROR(INDEX(Equipamentos!$D$5:$D$10,MATCH(B486,Equipamentos!$A$5:$A$10,0)),0),IF(OR(J486="Parado - manutenção",J486="Sem serviço"),0,MAX(N(K486),IFERROR(INDEX(Equipamentos!$D$5:$D$10,MATCH(B486,Equipamentos!$A$5:$A$10,0)),0)))))</f>
        <v/>
      </c>
      <c r="N486" s="14">
        <f>IF(B486="","",IFERROR(INDEX(Equipamentos!$C$5:$C$10,MATCH(B486,Equipamentos!$A$5:$A$10,0)),0))</f>
        <v/>
      </c>
      <c r="O486" s="14">
        <f>IF(B486="","",M486*N486)</f>
        <v/>
      </c>
      <c r="P486" s="9" t="n"/>
    </row>
    <row r="487">
      <c r="A487" s="15" t="n"/>
      <c r="B487" s="9" t="n"/>
      <c r="C487" s="9" t="n"/>
      <c r="D487" s="9" t="n"/>
      <c r="E487" s="16" t="n"/>
      <c r="F487" s="16" t="n"/>
      <c r="G487" s="16" t="n"/>
      <c r="H487" s="17" t="n"/>
      <c r="I487" s="17" t="n"/>
      <c r="J487" s="9" t="n"/>
      <c r="K487" s="13">
        <f>IF(OR(E487="",F487=""),"",ROUND((MOD(F487-E487,1)-N(G487))*24,2))</f>
        <v/>
      </c>
      <c r="L487" s="13">
        <f>IF(OR(H487="",I487=""),"",I487-H487)</f>
        <v/>
      </c>
      <c r="M487" s="13">
        <f>IF(B487="","",IF(J487="Parado - cliente",IFERROR(INDEX(Equipamentos!$D$5:$D$10,MATCH(B487,Equipamentos!$A$5:$A$10,0)),0),IF(OR(J487="Parado - manutenção",J487="Sem serviço"),0,MAX(N(K487),IFERROR(INDEX(Equipamentos!$D$5:$D$10,MATCH(B487,Equipamentos!$A$5:$A$10,0)),0)))))</f>
        <v/>
      </c>
      <c r="N487" s="14">
        <f>IF(B487="","",IFERROR(INDEX(Equipamentos!$C$5:$C$10,MATCH(B487,Equipamentos!$A$5:$A$10,0)),0))</f>
        <v/>
      </c>
      <c r="O487" s="14">
        <f>IF(B487="","",M487*N487)</f>
        <v/>
      </c>
      <c r="P487" s="9" t="n"/>
    </row>
    <row r="488">
      <c r="A488" s="15" t="n"/>
      <c r="B488" s="9" t="n"/>
      <c r="C488" s="9" t="n"/>
      <c r="D488" s="9" t="n"/>
      <c r="E488" s="16" t="n"/>
      <c r="F488" s="16" t="n"/>
      <c r="G488" s="16" t="n"/>
      <c r="H488" s="17" t="n"/>
      <c r="I488" s="17" t="n"/>
      <c r="J488" s="9" t="n"/>
      <c r="K488" s="13">
        <f>IF(OR(E488="",F488=""),"",ROUND((MOD(F488-E488,1)-N(G488))*24,2))</f>
        <v/>
      </c>
      <c r="L488" s="13">
        <f>IF(OR(H488="",I488=""),"",I488-H488)</f>
        <v/>
      </c>
      <c r="M488" s="13">
        <f>IF(B488="","",IF(J488="Parado - cliente",IFERROR(INDEX(Equipamentos!$D$5:$D$10,MATCH(B488,Equipamentos!$A$5:$A$10,0)),0),IF(OR(J488="Parado - manutenção",J488="Sem serviço"),0,MAX(N(K488),IFERROR(INDEX(Equipamentos!$D$5:$D$10,MATCH(B488,Equipamentos!$A$5:$A$10,0)),0)))))</f>
        <v/>
      </c>
      <c r="N488" s="14">
        <f>IF(B488="","",IFERROR(INDEX(Equipamentos!$C$5:$C$10,MATCH(B488,Equipamentos!$A$5:$A$10,0)),0))</f>
        <v/>
      </c>
      <c r="O488" s="14">
        <f>IF(B488="","",M488*N488)</f>
        <v/>
      </c>
      <c r="P488" s="9" t="n"/>
    </row>
    <row r="489">
      <c r="A489" s="15" t="n"/>
      <c r="B489" s="9" t="n"/>
      <c r="C489" s="9" t="n"/>
      <c r="D489" s="9" t="n"/>
      <c r="E489" s="16" t="n"/>
      <c r="F489" s="16" t="n"/>
      <c r="G489" s="16" t="n"/>
      <c r="H489" s="17" t="n"/>
      <c r="I489" s="17" t="n"/>
      <c r="J489" s="9" t="n"/>
      <c r="K489" s="13">
        <f>IF(OR(E489="",F489=""),"",ROUND((MOD(F489-E489,1)-N(G489))*24,2))</f>
        <v/>
      </c>
      <c r="L489" s="13">
        <f>IF(OR(H489="",I489=""),"",I489-H489)</f>
        <v/>
      </c>
      <c r="M489" s="13">
        <f>IF(B489="","",IF(J489="Parado - cliente",IFERROR(INDEX(Equipamentos!$D$5:$D$10,MATCH(B489,Equipamentos!$A$5:$A$10,0)),0),IF(OR(J489="Parado - manutenção",J489="Sem serviço"),0,MAX(N(K489),IFERROR(INDEX(Equipamentos!$D$5:$D$10,MATCH(B489,Equipamentos!$A$5:$A$10,0)),0)))))</f>
        <v/>
      </c>
      <c r="N489" s="14">
        <f>IF(B489="","",IFERROR(INDEX(Equipamentos!$C$5:$C$10,MATCH(B489,Equipamentos!$A$5:$A$10,0)),0))</f>
        <v/>
      </c>
      <c r="O489" s="14">
        <f>IF(B489="","",M489*N489)</f>
        <v/>
      </c>
      <c r="P489" s="9" t="n"/>
    </row>
    <row r="490">
      <c r="A490" s="15" t="n"/>
      <c r="B490" s="9" t="n"/>
      <c r="C490" s="9" t="n"/>
      <c r="D490" s="9" t="n"/>
      <c r="E490" s="16" t="n"/>
      <c r="F490" s="16" t="n"/>
      <c r="G490" s="16" t="n"/>
      <c r="H490" s="17" t="n"/>
      <c r="I490" s="17" t="n"/>
      <c r="J490" s="9" t="n"/>
      <c r="K490" s="13">
        <f>IF(OR(E490="",F490=""),"",ROUND((MOD(F490-E490,1)-N(G490))*24,2))</f>
        <v/>
      </c>
      <c r="L490" s="13">
        <f>IF(OR(H490="",I490=""),"",I490-H490)</f>
        <v/>
      </c>
      <c r="M490" s="13">
        <f>IF(B490="","",IF(J490="Parado - cliente",IFERROR(INDEX(Equipamentos!$D$5:$D$10,MATCH(B490,Equipamentos!$A$5:$A$10,0)),0),IF(OR(J490="Parado - manutenção",J490="Sem serviço"),0,MAX(N(K490),IFERROR(INDEX(Equipamentos!$D$5:$D$10,MATCH(B490,Equipamentos!$A$5:$A$10,0)),0)))))</f>
        <v/>
      </c>
      <c r="N490" s="14">
        <f>IF(B490="","",IFERROR(INDEX(Equipamentos!$C$5:$C$10,MATCH(B490,Equipamentos!$A$5:$A$10,0)),0))</f>
        <v/>
      </c>
      <c r="O490" s="14">
        <f>IF(B490="","",M490*N490)</f>
        <v/>
      </c>
      <c r="P490" s="9" t="n"/>
    </row>
    <row r="491">
      <c r="A491" s="15" t="n"/>
      <c r="B491" s="9" t="n"/>
      <c r="C491" s="9" t="n"/>
      <c r="D491" s="9" t="n"/>
      <c r="E491" s="16" t="n"/>
      <c r="F491" s="16" t="n"/>
      <c r="G491" s="16" t="n"/>
      <c r="H491" s="17" t="n"/>
      <c r="I491" s="17" t="n"/>
      <c r="J491" s="9" t="n"/>
      <c r="K491" s="13">
        <f>IF(OR(E491="",F491=""),"",ROUND((MOD(F491-E491,1)-N(G491))*24,2))</f>
        <v/>
      </c>
      <c r="L491" s="13">
        <f>IF(OR(H491="",I491=""),"",I491-H491)</f>
        <v/>
      </c>
      <c r="M491" s="13">
        <f>IF(B491="","",IF(J491="Parado - cliente",IFERROR(INDEX(Equipamentos!$D$5:$D$10,MATCH(B491,Equipamentos!$A$5:$A$10,0)),0),IF(OR(J491="Parado - manutenção",J491="Sem serviço"),0,MAX(N(K491),IFERROR(INDEX(Equipamentos!$D$5:$D$10,MATCH(B491,Equipamentos!$A$5:$A$10,0)),0)))))</f>
        <v/>
      </c>
      <c r="N491" s="14">
        <f>IF(B491="","",IFERROR(INDEX(Equipamentos!$C$5:$C$10,MATCH(B491,Equipamentos!$A$5:$A$10,0)),0))</f>
        <v/>
      </c>
      <c r="O491" s="14">
        <f>IF(B491="","",M491*N491)</f>
        <v/>
      </c>
      <c r="P491" s="9" t="n"/>
    </row>
    <row r="492">
      <c r="A492" s="15" t="n"/>
      <c r="B492" s="9" t="n"/>
      <c r="C492" s="9" t="n"/>
      <c r="D492" s="9" t="n"/>
      <c r="E492" s="16" t="n"/>
      <c r="F492" s="16" t="n"/>
      <c r="G492" s="16" t="n"/>
      <c r="H492" s="17" t="n"/>
      <c r="I492" s="17" t="n"/>
      <c r="J492" s="9" t="n"/>
      <c r="K492" s="13">
        <f>IF(OR(E492="",F492=""),"",ROUND((MOD(F492-E492,1)-N(G492))*24,2))</f>
        <v/>
      </c>
      <c r="L492" s="13">
        <f>IF(OR(H492="",I492=""),"",I492-H492)</f>
        <v/>
      </c>
      <c r="M492" s="13">
        <f>IF(B492="","",IF(J492="Parado - cliente",IFERROR(INDEX(Equipamentos!$D$5:$D$10,MATCH(B492,Equipamentos!$A$5:$A$10,0)),0),IF(OR(J492="Parado - manutenção",J492="Sem serviço"),0,MAX(N(K492),IFERROR(INDEX(Equipamentos!$D$5:$D$10,MATCH(B492,Equipamentos!$A$5:$A$10,0)),0)))))</f>
        <v/>
      </c>
      <c r="N492" s="14">
        <f>IF(B492="","",IFERROR(INDEX(Equipamentos!$C$5:$C$10,MATCH(B492,Equipamentos!$A$5:$A$10,0)),0))</f>
        <v/>
      </c>
      <c r="O492" s="14">
        <f>IF(B492="","",M492*N492)</f>
        <v/>
      </c>
      <c r="P492" s="9" t="n"/>
    </row>
    <row r="493">
      <c r="A493" s="15" t="n"/>
      <c r="B493" s="9" t="n"/>
      <c r="C493" s="9" t="n"/>
      <c r="D493" s="9" t="n"/>
      <c r="E493" s="16" t="n"/>
      <c r="F493" s="16" t="n"/>
      <c r="G493" s="16" t="n"/>
      <c r="H493" s="17" t="n"/>
      <c r="I493" s="17" t="n"/>
      <c r="J493" s="9" t="n"/>
      <c r="K493" s="13">
        <f>IF(OR(E493="",F493=""),"",ROUND((MOD(F493-E493,1)-N(G493))*24,2))</f>
        <v/>
      </c>
      <c r="L493" s="13">
        <f>IF(OR(H493="",I493=""),"",I493-H493)</f>
        <v/>
      </c>
      <c r="M493" s="13">
        <f>IF(B493="","",IF(J493="Parado - cliente",IFERROR(INDEX(Equipamentos!$D$5:$D$10,MATCH(B493,Equipamentos!$A$5:$A$10,0)),0),IF(OR(J493="Parado - manutenção",J493="Sem serviço"),0,MAX(N(K493),IFERROR(INDEX(Equipamentos!$D$5:$D$10,MATCH(B493,Equipamentos!$A$5:$A$10,0)),0)))))</f>
        <v/>
      </c>
      <c r="N493" s="14">
        <f>IF(B493="","",IFERROR(INDEX(Equipamentos!$C$5:$C$10,MATCH(B493,Equipamentos!$A$5:$A$10,0)),0))</f>
        <v/>
      </c>
      <c r="O493" s="14">
        <f>IF(B493="","",M493*N493)</f>
        <v/>
      </c>
      <c r="P493" s="9" t="n"/>
    </row>
    <row r="494">
      <c r="A494" s="15" t="n"/>
      <c r="B494" s="9" t="n"/>
      <c r="C494" s="9" t="n"/>
      <c r="D494" s="9" t="n"/>
      <c r="E494" s="16" t="n"/>
      <c r="F494" s="16" t="n"/>
      <c r="G494" s="16" t="n"/>
      <c r="H494" s="17" t="n"/>
      <c r="I494" s="17" t="n"/>
      <c r="J494" s="9" t="n"/>
      <c r="K494" s="13">
        <f>IF(OR(E494="",F494=""),"",ROUND((MOD(F494-E494,1)-N(G494))*24,2))</f>
        <v/>
      </c>
      <c r="L494" s="13">
        <f>IF(OR(H494="",I494=""),"",I494-H494)</f>
        <v/>
      </c>
      <c r="M494" s="13">
        <f>IF(B494="","",IF(J494="Parado - cliente",IFERROR(INDEX(Equipamentos!$D$5:$D$10,MATCH(B494,Equipamentos!$A$5:$A$10,0)),0),IF(OR(J494="Parado - manutenção",J494="Sem serviço"),0,MAX(N(K494),IFERROR(INDEX(Equipamentos!$D$5:$D$10,MATCH(B494,Equipamentos!$A$5:$A$10,0)),0)))))</f>
        <v/>
      </c>
      <c r="N494" s="14">
        <f>IF(B494="","",IFERROR(INDEX(Equipamentos!$C$5:$C$10,MATCH(B494,Equipamentos!$A$5:$A$10,0)),0))</f>
        <v/>
      </c>
      <c r="O494" s="14">
        <f>IF(B494="","",M494*N494)</f>
        <v/>
      </c>
      <c r="P494" s="9" t="n"/>
    </row>
    <row r="495">
      <c r="A495" s="15" t="n"/>
      <c r="B495" s="9" t="n"/>
      <c r="C495" s="9" t="n"/>
      <c r="D495" s="9" t="n"/>
      <c r="E495" s="16" t="n"/>
      <c r="F495" s="16" t="n"/>
      <c r="G495" s="16" t="n"/>
      <c r="H495" s="17" t="n"/>
      <c r="I495" s="17" t="n"/>
      <c r="J495" s="9" t="n"/>
      <c r="K495" s="13">
        <f>IF(OR(E495="",F495=""),"",ROUND((MOD(F495-E495,1)-N(G495))*24,2))</f>
        <v/>
      </c>
      <c r="L495" s="13">
        <f>IF(OR(H495="",I495=""),"",I495-H495)</f>
        <v/>
      </c>
      <c r="M495" s="13">
        <f>IF(B495="","",IF(J495="Parado - cliente",IFERROR(INDEX(Equipamentos!$D$5:$D$10,MATCH(B495,Equipamentos!$A$5:$A$10,0)),0),IF(OR(J495="Parado - manutenção",J495="Sem serviço"),0,MAX(N(K495),IFERROR(INDEX(Equipamentos!$D$5:$D$10,MATCH(B495,Equipamentos!$A$5:$A$10,0)),0)))))</f>
        <v/>
      </c>
      <c r="N495" s="14">
        <f>IF(B495="","",IFERROR(INDEX(Equipamentos!$C$5:$C$10,MATCH(B495,Equipamentos!$A$5:$A$10,0)),0))</f>
        <v/>
      </c>
      <c r="O495" s="14">
        <f>IF(B495="","",M495*N495)</f>
        <v/>
      </c>
      <c r="P495" s="9" t="n"/>
    </row>
    <row r="496">
      <c r="A496" s="15" t="n"/>
      <c r="B496" s="9" t="n"/>
      <c r="C496" s="9" t="n"/>
      <c r="D496" s="9" t="n"/>
      <c r="E496" s="16" t="n"/>
      <c r="F496" s="16" t="n"/>
      <c r="G496" s="16" t="n"/>
      <c r="H496" s="17" t="n"/>
      <c r="I496" s="17" t="n"/>
      <c r="J496" s="9" t="n"/>
      <c r="K496" s="13">
        <f>IF(OR(E496="",F496=""),"",ROUND((MOD(F496-E496,1)-N(G496))*24,2))</f>
        <v/>
      </c>
      <c r="L496" s="13">
        <f>IF(OR(H496="",I496=""),"",I496-H496)</f>
        <v/>
      </c>
      <c r="M496" s="13">
        <f>IF(B496="","",IF(J496="Parado - cliente",IFERROR(INDEX(Equipamentos!$D$5:$D$10,MATCH(B496,Equipamentos!$A$5:$A$10,0)),0),IF(OR(J496="Parado - manutenção",J496="Sem serviço"),0,MAX(N(K496),IFERROR(INDEX(Equipamentos!$D$5:$D$10,MATCH(B496,Equipamentos!$A$5:$A$10,0)),0)))))</f>
        <v/>
      </c>
      <c r="N496" s="14">
        <f>IF(B496="","",IFERROR(INDEX(Equipamentos!$C$5:$C$10,MATCH(B496,Equipamentos!$A$5:$A$10,0)),0))</f>
        <v/>
      </c>
      <c r="O496" s="14">
        <f>IF(B496="","",M496*N496)</f>
        <v/>
      </c>
      <c r="P496" s="9" t="n"/>
    </row>
    <row r="497">
      <c r="A497" s="15" t="n"/>
      <c r="B497" s="9" t="n"/>
      <c r="C497" s="9" t="n"/>
      <c r="D497" s="9" t="n"/>
      <c r="E497" s="16" t="n"/>
      <c r="F497" s="16" t="n"/>
      <c r="G497" s="16" t="n"/>
      <c r="H497" s="17" t="n"/>
      <c r="I497" s="17" t="n"/>
      <c r="J497" s="9" t="n"/>
      <c r="K497" s="13">
        <f>IF(OR(E497="",F497=""),"",ROUND((MOD(F497-E497,1)-N(G497))*24,2))</f>
        <v/>
      </c>
      <c r="L497" s="13">
        <f>IF(OR(H497="",I497=""),"",I497-H497)</f>
        <v/>
      </c>
      <c r="M497" s="13">
        <f>IF(B497="","",IF(J497="Parado - cliente",IFERROR(INDEX(Equipamentos!$D$5:$D$10,MATCH(B497,Equipamentos!$A$5:$A$10,0)),0),IF(OR(J497="Parado - manutenção",J497="Sem serviço"),0,MAX(N(K497),IFERROR(INDEX(Equipamentos!$D$5:$D$10,MATCH(B497,Equipamentos!$A$5:$A$10,0)),0)))))</f>
        <v/>
      </c>
      <c r="N497" s="14">
        <f>IF(B497="","",IFERROR(INDEX(Equipamentos!$C$5:$C$10,MATCH(B497,Equipamentos!$A$5:$A$10,0)),0))</f>
        <v/>
      </c>
      <c r="O497" s="14">
        <f>IF(B497="","",M497*N497)</f>
        <v/>
      </c>
      <c r="P497" s="9" t="n"/>
    </row>
    <row r="498">
      <c r="A498" s="15" t="n"/>
      <c r="B498" s="9" t="n"/>
      <c r="C498" s="9" t="n"/>
      <c r="D498" s="9" t="n"/>
      <c r="E498" s="16" t="n"/>
      <c r="F498" s="16" t="n"/>
      <c r="G498" s="16" t="n"/>
      <c r="H498" s="17" t="n"/>
      <c r="I498" s="17" t="n"/>
      <c r="J498" s="9" t="n"/>
      <c r="K498" s="13">
        <f>IF(OR(E498="",F498=""),"",ROUND((MOD(F498-E498,1)-N(G498))*24,2))</f>
        <v/>
      </c>
      <c r="L498" s="13">
        <f>IF(OR(H498="",I498=""),"",I498-H498)</f>
        <v/>
      </c>
      <c r="M498" s="13">
        <f>IF(B498="","",IF(J498="Parado - cliente",IFERROR(INDEX(Equipamentos!$D$5:$D$10,MATCH(B498,Equipamentos!$A$5:$A$10,0)),0),IF(OR(J498="Parado - manutenção",J498="Sem serviço"),0,MAX(N(K498),IFERROR(INDEX(Equipamentos!$D$5:$D$10,MATCH(B498,Equipamentos!$A$5:$A$10,0)),0)))))</f>
        <v/>
      </c>
      <c r="N498" s="14">
        <f>IF(B498="","",IFERROR(INDEX(Equipamentos!$C$5:$C$10,MATCH(B498,Equipamentos!$A$5:$A$10,0)),0))</f>
        <v/>
      </c>
      <c r="O498" s="14">
        <f>IF(B498="","",M498*N498)</f>
        <v/>
      </c>
      <c r="P498" s="9" t="n"/>
    </row>
    <row r="499">
      <c r="A499" s="15" t="n"/>
      <c r="B499" s="9" t="n"/>
      <c r="C499" s="9" t="n"/>
      <c r="D499" s="9" t="n"/>
      <c r="E499" s="16" t="n"/>
      <c r="F499" s="16" t="n"/>
      <c r="G499" s="16" t="n"/>
      <c r="H499" s="17" t="n"/>
      <c r="I499" s="17" t="n"/>
      <c r="J499" s="9" t="n"/>
      <c r="K499" s="13">
        <f>IF(OR(E499="",F499=""),"",ROUND((MOD(F499-E499,1)-N(G499))*24,2))</f>
        <v/>
      </c>
      <c r="L499" s="13">
        <f>IF(OR(H499="",I499=""),"",I499-H499)</f>
        <v/>
      </c>
      <c r="M499" s="13">
        <f>IF(B499="","",IF(J499="Parado - cliente",IFERROR(INDEX(Equipamentos!$D$5:$D$10,MATCH(B499,Equipamentos!$A$5:$A$10,0)),0),IF(OR(J499="Parado - manutenção",J499="Sem serviço"),0,MAX(N(K499),IFERROR(INDEX(Equipamentos!$D$5:$D$10,MATCH(B499,Equipamentos!$A$5:$A$10,0)),0)))))</f>
        <v/>
      </c>
      <c r="N499" s="14">
        <f>IF(B499="","",IFERROR(INDEX(Equipamentos!$C$5:$C$10,MATCH(B499,Equipamentos!$A$5:$A$10,0)),0))</f>
        <v/>
      </c>
      <c r="O499" s="14">
        <f>IF(B499="","",M499*N499)</f>
        <v/>
      </c>
      <c r="P499" s="9" t="n"/>
    </row>
    <row r="500">
      <c r="A500" s="15" t="n"/>
      <c r="B500" s="9" t="n"/>
      <c r="C500" s="9" t="n"/>
      <c r="D500" s="9" t="n"/>
      <c r="E500" s="16" t="n"/>
      <c r="F500" s="16" t="n"/>
      <c r="G500" s="16" t="n"/>
      <c r="H500" s="17" t="n"/>
      <c r="I500" s="17" t="n"/>
      <c r="J500" s="9" t="n"/>
      <c r="K500" s="13">
        <f>IF(OR(E500="",F500=""),"",ROUND((MOD(F500-E500,1)-N(G500))*24,2))</f>
        <v/>
      </c>
      <c r="L500" s="13">
        <f>IF(OR(H500="",I500=""),"",I500-H500)</f>
        <v/>
      </c>
      <c r="M500" s="13">
        <f>IF(B500="","",IF(J500="Parado - cliente",IFERROR(INDEX(Equipamentos!$D$5:$D$10,MATCH(B500,Equipamentos!$A$5:$A$10,0)),0),IF(OR(J500="Parado - manutenção",J500="Sem serviço"),0,MAX(N(K500),IFERROR(INDEX(Equipamentos!$D$5:$D$10,MATCH(B500,Equipamentos!$A$5:$A$10,0)),0)))))</f>
        <v/>
      </c>
      <c r="N500" s="14">
        <f>IF(B500="","",IFERROR(INDEX(Equipamentos!$C$5:$C$10,MATCH(B500,Equipamentos!$A$5:$A$10,0)),0))</f>
        <v/>
      </c>
      <c r="O500" s="14">
        <f>IF(B500="","",M500*N500)</f>
        <v/>
      </c>
      <c r="P500" s="9" t="n"/>
    </row>
    <row r="501">
      <c r="A501" s="15" t="n"/>
      <c r="B501" s="9" t="n"/>
      <c r="C501" s="9" t="n"/>
      <c r="D501" s="9" t="n"/>
      <c r="E501" s="16" t="n"/>
      <c r="F501" s="16" t="n"/>
      <c r="G501" s="16" t="n"/>
      <c r="H501" s="17" t="n"/>
      <c r="I501" s="17" t="n"/>
      <c r="J501" s="9" t="n"/>
      <c r="K501" s="13">
        <f>IF(OR(E501="",F501=""),"",ROUND((MOD(F501-E501,1)-N(G501))*24,2))</f>
        <v/>
      </c>
      <c r="L501" s="13">
        <f>IF(OR(H501="",I501=""),"",I501-H501)</f>
        <v/>
      </c>
      <c r="M501" s="13">
        <f>IF(B501="","",IF(J501="Parado - cliente",IFERROR(INDEX(Equipamentos!$D$5:$D$10,MATCH(B501,Equipamentos!$A$5:$A$10,0)),0),IF(OR(J501="Parado - manutenção",J501="Sem serviço"),0,MAX(N(K501),IFERROR(INDEX(Equipamentos!$D$5:$D$10,MATCH(B501,Equipamentos!$A$5:$A$10,0)),0)))))</f>
        <v/>
      </c>
      <c r="N501" s="14">
        <f>IF(B501="","",IFERROR(INDEX(Equipamentos!$C$5:$C$10,MATCH(B501,Equipamentos!$A$5:$A$10,0)),0))</f>
        <v/>
      </c>
      <c r="O501" s="14">
        <f>IF(B501="","",M501*N501)</f>
        <v/>
      </c>
      <c r="P501" s="9" t="n"/>
    </row>
    <row r="502">
      <c r="A502" s="15" t="n"/>
      <c r="B502" s="9" t="n"/>
      <c r="C502" s="9" t="n"/>
      <c r="D502" s="9" t="n"/>
      <c r="E502" s="16" t="n"/>
      <c r="F502" s="16" t="n"/>
      <c r="G502" s="16" t="n"/>
      <c r="H502" s="17" t="n"/>
      <c r="I502" s="17" t="n"/>
      <c r="J502" s="9" t="n"/>
      <c r="K502" s="13">
        <f>IF(OR(E502="",F502=""),"",ROUND((MOD(F502-E502,1)-N(G502))*24,2))</f>
        <v/>
      </c>
      <c r="L502" s="13">
        <f>IF(OR(H502="",I502=""),"",I502-H502)</f>
        <v/>
      </c>
      <c r="M502" s="13">
        <f>IF(B502="","",IF(J502="Parado - cliente",IFERROR(INDEX(Equipamentos!$D$5:$D$10,MATCH(B502,Equipamentos!$A$5:$A$10,0)),0),IF(OR(J502="Parado - manutenção",J502="Sem serviço"),0,MAX(N(K502),IFERROR(INDEX(Equipamentos!$D$5:$D$10,MATCH(B502,Equipamentos!$A$5:$A$10,0)),0)))))</f>
        <v/>
      </c>
      <c r="N502" s="14">
        <f>IF(B502="","",IFERROR(INDEX(Equipamentos!$C$5:$C$10,MATCH(B502,Equipamentos!$A$5:$A$10,0)),0))</f>
        <v/>
      </c>
      <c r="O502" s="14">
        <f>IF(B502="","",M502*N502)</f>
        <v/>
      </c>
      <c r="P502" s="9" t="n"/>
    </row>
    <row r="503">
      <c r="A503" s="15" t="n"/>
      <c r="B503" s="9" t="n"/>
      <c r="C503" s="9" t="n"/>
      <c r="D503" s="9" t="n"/>
      <c r="E503" s="16" t="n"/>
      <c r="F503" s="16" t="n"/>
      <c r="G503" s="16" t="n"/>
      <c r="H503" s="17" t="n"/>
      <c r="I503" s="17" t="n"/>
      <c r="J503" s="9" t="n"/>
      <c r="K503" s="13">
        <f>IF(OR(E503="",F503=""),"",ROUND((MOD(F503-E503,1)-N(G503))*24,2))</f>
        <v/>
      </c>
      <c r="L503" s="13">
        <f>IF(OR(H503="",I503=""),"",I503-H503)</f>
        <v/>
      </c>
      <c r="M503" s="13">
        <f>IF(B503="","",IF(J503="Parado - cliente",IFERROR(INDEX(Equipamentos!$D$5:$D$10,MATCH(B503,Equipamentos!$A$5:$A$10,0)),0),IF(OR(J503="Parado - manutenção",J503="Sem serviço"),0,MAX(N(K503),IFERROR(INDEX(Equipamentos!$D$5:$D$10,MATCH(B503,Equipamentos!$A$5:$A$10,0)),0)))))</f>
        <v/>
      </c>
      <c r="N503" s="14">
        <f>IF(B503="","",IFERROR(INDEX(Equipamentos!$C$5:$C$10,MATCH(B503,Equipamentos!$A$5:$A$10,0)),0))</f>
        <v/>
      </c>
      <c r="O503" s="14">
        <f>IF(B503="","",M503*N503)</f>
        <v/>
      </c>
      <c r="P503" s="9" t="n"/>
    </row>
    <row r="504">
      <c r="A504" s="15" t="n"/>
      <c r="B504" s="9" t="n"/>
      <c r="C504" s="9" t="n"/>
      <c r="D504" s="9" t="n"/>
      <c r="E504" s="16" t="n"/>
      <c r="F504" s="16" t="n"/>
      <c r="G504" s="16" t="n"/>
      <c r="H504" s="17" t="n"/>
      <c r="I504" s="17" t="n"/>
      <c r="J504" s="9" t="n"/>
      <c r="K504" s="13">
        <f>IF(OR(E504="",F504=""),"",ROUND((MOD(F504-E504,1)-N(G504))*24,2))</f>
        <v/>
      </c>
      <c r="L504" s="13">
        <f>IF(OR(H504="",I504=""),"",I504-H504)</f>
        <v/>
      </c>
      <c r="M504" s="13">
        <f>IF(B504="","",IF(J504="Parado - cliente",IFERROR(INDEX(Equipamentos!$D$5:$D$10,MATCH(B504,Equipamentos!$A$5:$A$10,0)),0),IF(OR(J504="Parado - manutenção",J504="Sem serviço"),0,MAX(N(K504),IFERROR(INDEX(Equipamentos!$D$5:$D$10,MATCH(B504,Equipamentos!$A$5:$A$10,0)),0)))))</f>
        <v/>
      </c>
      <c r="N504" s="14">
        <f>IF(B504="","",IFERROR(INDEX(Equipamentos!$C$5:$C$10,MATCH(B504,Equipamentos!$A$5:$A$10,0)),0))</f>
        <v/>
      </c>
      <c r="O504" s="14">
        <f>IF(B504="","",M504*N504)</f>
        <v/>
      </c>
      <c r="P504" s="9" t="n"/>
    </row>
  </sheetData>
  <autoFilter ref="A4:P504"/>
  <conditionalFormatting sqref="L5:L504">
    <cfRule type="expression" priority="1" dxfId="0">
      <formula>AND(ISNUMBER(L5),ISNUMBER(K5),ABS(L5-K5)&gt;1)</formula>
    </cfRule>
  </conditionalFormatting>
  <dataValidations count="2">
    <dataValidation sqref="B5:B504" showDropDown="0" showInputMessage="0" showErrorMessage="0" allowBlank="1" type="list">
      <formula1>=Equipamentos!$A$5:$A$10</formula1>
    </dataValidation>
    <dataValidation sqref="J5:J504" showDropDown="0" showInputMessage="0" showErrorMessage="0" allowBlank="1" type="list">
      <formula1>"Trabalhou,Parado - cliente,Parado - manutenção,Sem serviço"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20" customWidth="1" min="1" max="1"/>
    <col width="12" customWidth="1" min="2" max="2"/>
    <col width="13" customWidth="1" min="3" max="3"/>
    <col width="14" customWidth="1" min="4" max="4"/>
    <col width="15" customWidth="1" min="5" max="5"/>
    <col width="13" customWidth="1" min="6" max="6"/>
    <col width="13" customWidth="1" min="7" max="7"/>
    <col width="15" customWidth="1" min="8" max="8"/>
    <col width="17" customWidth="1" min="9" max="9"/>
  </cols>
  <sheetData>
    <row r="1">
      <c r="A1" s="1" t="inlineStr">
        <is>
          <t>RESUMO MENSAL POR EQUIPAMENTO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18" t="inlineStr">
        <is>
          <t>Mês de referência (digite qualquer dia do mês):</t>
        </is>
      </c>
      <c r="B3" s="2" t="n"/>
      <c r="C3" s="27" t="n">
        <v>46266</v>
      </c>
      <c r="D3" s="2" t="n"/>
      <c r="E3" s="2" t="inlineStr">
        <is>
          <t>Início:</t>
        </is>
      </c>
      <c r="F3" s="20">
        <f>DATE(YEAR(C3),MONTH(C3),1)</f>
        <v/>
      </c>
      <c r="G3" s="2" t="inlineStr">
        <is>
          <t>Fim:</t>
        </is>
      </c>
      <c r="H3" s="20">
        <f>EOMONTH(C3,0)</f>
        <v/>
      </c>
      <c r="I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32" customHeight="1">
      <c r="A5" s="4" t="inlineStr">
        <is>
          <t>Equipamento</t>
        </is>
      </c>
      <c r="B5" s="4" t="inlineStr">
        <is>
          <t>Dias lançados</t>
        </is>
      </c>
      <c r="C5" s="4" t="inlineStr">
        <is>
          <t>Dias trabalhados</t>
        </is>
      </c>
      <c r="D5" s="4" t="inlineStr">
        <is>
          <t>Dias parado (cliente)</t>
        </is>
      </c>
      <c r="E5" s="4" t="inlineStr">
        <is>
          <t>Dias parado (manutenção)</t>
        </is>
      </c>
      <c r="F5" s="4" t="inlineStr">
        <is>
          <t>Horas trabalhadas</t>
        </is>
      </c>
      <c r="G5" s="4" t="inlineStr">
        <is>
          <t>Horas faturadas</t>
        </is>
      </c>
      <c r="H5" s="4" t="inlineStr">
        <is>
          <t>Média horas/dia trabalhado</t>
        </is>
      </c>
      <c r="I5" s="4" t="inlineStr">
        <is>
          <t>Valor a faturar (R$)</t>
        </is>
      </c>
    </row>
    <row r="6">
      <c r="A6" s="21">
        <f>IF(Equipamentos!A5="","",Equipamentos!A5)</f>
        <v/>
      </c>
      <c r="B6" s="21">
        <f>IF(A6="","",COUNTIFS(Lançamentos!$B$5:$B$504,$A6,Lançamentos!$A$5:$A$504,"&gt;="&amp;$F$3,Lançamentos!$A$5:$A$504,"&lt;="&amp;$H$3))</f>
        <v/>
      </c>
      <c r="C6" s="21">
        <f>IF(A6="","",COUNTIFS(Lançamentos!$B$5:$B$504,$A6,Lançamentos!$A$5:$A$504,"&gt;="&amp;$F$3,Lançamentos!$A$5:$A$504,"&lt;="&amp;$H$3,Lançamentos!$J$5:$J$504,"Trabalhou"))</f>
        <v/>
      </c>
      <c r="D6" s="21">
        <f>IF(A6="","",COUNTIFS(Lançamentos!$B$5:$B$504,$A6,Lançamentos!$A$5:$A$504,"&gt;="&amp;$F$3,Lançamentos!$A$5:$A$504,"&lt;="&amp;$H$3,Lançamentos!$J$5:$J$504,"Parado - cliente"))</f>
        <v/>
      </c>
      <c r="E6" s="21">
        <f>IF(A6="","",COUNTIFS(Lançamentos!$B$5:$B$504,$A6,Lançamentos!$A$5:$A$504,"&gt;="&amp;$F$3,Lançamentos!$A$5:$A$504,"&lt;="&amp;$H$3,Lançamentos!$J$5:$J$504,"Parado - manutenção"))</f>
        <v/>
      </c>
      <c r="F6" s="22">
        <f>IF(A6="","",SUMIFS(Lançamentos!$K$5:$K$504,Lançamentos!$B$5:$B$504,$A6,Lançamentos!$A$5:$A$504,"&gt;="&amp;$F$3,Lançamentos!$A$5:$A$504,"&lt;="&amp;$H$3))</f>
        <v/>
      </c>
      <c r="G6" s="22">
        <f>IF(A6="","",SUMIFS(Lançamentos!$M$5:$M$504,Lançamentos!$B$5:$B$504,$A6,Lançamentos!$A$5:$A$504,"&gt;="&amp;$F$3,Lançamentos!$A$5:$A$504,"&lt;="&amp;$H$3))</f>
        <v/>
      </c>
      <c r="H6" s="22">
        <f>IF(A6="","",IF(C6=0,0,SUMIFS(Lançamentos!$K$5:$K$504,Lançamentos!$B$5:$B$504,$A6,Lançamentos!$A$5:$A$504,"&gt;="&amp;$F$3,Lançamentos!$A$5:$A$504,"&lt;="&amp;$H$3,Lançamentos!$J$5:$J$504,"Trabalhou")/C6))</f>
        <v/>
      </c>
      <c r="I6" s="23">
        <f>IF(A6="","",SUMIFS(Lançamentos!$O$5:$O$504,Lançamentos!$B$5:$B$504,$A6,Lançamentos!$A$5:$A$504,"&gt;="&amp;$F$3,Lançamentos!$A$5:$A$504,"&lt;="&amp;$H$3))</f>
        <v/>
      </c>
    </row>
    <row r="7">
      <c r="A7" s="21">
        <f>IF(Equipamentos!A6="","",Equipamentos!A6)</f>
        <v/>
      </c>
      <c r="B7" s="21">
        <f>IF(A7="","",COUNTIFS(Lançamentos!$B$5:$B$504,$A7,Lançamentos!$A$5:$A$504,"&gt;="&amp;$F$3,Lançamentos!$A$5:$A$504,"&lt;="&amp;$H$3))</f>
        <v/>
      </c>
      <c r="C7" s="21">
        <f>IF(A7="","",COUNTIFS(Lançamentos!$B$5:$B$504,$A7,Lançamentos!$A$5:$A$504,"&gt;="&amp;$F$3,Lançamentos!$A$5:$A$504,"&lt;="&amp;$H$3,Lançamentos!$J$5:$J$504,"Trabalhou"))</f>
        <v/>
      </c>
      <c r="D7" s="21">
        <f>IF(A7="","",COUNTIFS(Lançamentos!$B$5:$B$504,$A7,Lançamentos!$A$5:$A$504,"&gt;="&amp;$F$3,Lançamentos!$A$5:$A$504,"&lt;="&amp;$H$3,Lançamentos!$J$5:$J$504,"Parado - cliente"))</f>
        <v/>
      </c>
      <c r="E7" s="21">
        <f>IF(A7="","",COUNTIFS(Lançamentos!$B$5:$B$504,$A7,Lançamentos!$A$5:$A$504,"&gt;="&amp;$F$3,Lançamentos!$A$5:$A$504,"&lt;="&amp;$H$3,Lançamentos!$J$5:$J$504,"Parado - manutenção"))</f>
        <v/>
      </c>
      <c r="F7" s="22">
        <f>IF(A7="","",SUMIFS(Lançamentos!$K$5:$K$504,Lançamentos!$B$5:$B$504,$A7,Lançamentos!$A$5:$A$504,"&gt;="&amp;$F$3,Lançamentos!$A$5:$A$504,"&lt;="&amp;$H$3))</f>
        <v/>
      </c>
      <c r="G7" s="22">
        <f>IF(A7="","",SUMIFS(Lançamentos!$M$5:$M$504,Lançamentos!$B$5:$B$504,$A7,Lançamentos!$A$5:$A$504,"&gt;="&amp;$F$3,Lançamentos!$A$5:$A$504,"&lt;="&amp;$H$3))</f>
        <v/>
      </c>
      <c r="H7" s="22">
        <f>IF(A7="","",IF(C7=0,0,SUMIFS(Lançamentos!$K$5:$K$504,Lançamentos!$B$5:$B$504,$A7,Lançamentos!$A$5:$A$504,"&gt;="&amp;$F$3,Lançamentos!$A$5:$A$504,"&lt;="&amp;$H$3,Lançamentos!$J$5:$J$504,"Trabalhou")/C7))</f>
        <v/>
      </c>
      <c r="I7" s="23">
        <f>IF(A7="","",SUMIFS(Lançamentos!$O$5:$O$504,Lançamentos!$B$5:$B$504,$A7,Lançamentos!$A$5:$A$504,"&gt;="&amp;$F$3,Lançamentos!$A$5:$A$504,"&lt;="&amp;$H$3))</f>
        <v/>
      </c>
    </row>
    <row r="8">
      <c r="A8" s="21">
        <f>IF(Equipamentos!A7="","",Equipamentos!A7)</f>
        <v/>
      </c>
      <c r="B8" s="21">
        <f>IF(A8="","",COUNTIFS(Lançamentos!$B$5:$B$504,$A8,Lançamentos!$A$5:$A$504,"&gt;="&amp;$F$3,Lançamentos!$A$5:$A$504,"&lt;="&amp;$H$3))</f>
        <v/>
      </c>
      <c r="C8" s="21">
        <f>IF(A8="","",COUNTIFS(Lançamentos!$B$5:$B$504,$A8,Lançamentos!$A$5:$A$504,"&gt;="&amp;$F$3,Lançamentos!$A$5:$A$504,"&lt;="&amp;$H$3,Lançamentos!$J$5:$J$504,"Trabalhou"))</f>
        <v/>
      </c>
      <c r="D8" s="21">
        <f>IF(A8="","",COUNTIFS(Lançamentos!$B$5:$B$504,$A8,Lançamentos!$A$5:$A$504,"&gt;="&amp;$F$3,Lançamentos!$A$5:$A$504,"&lt;="&amp;$H$3,Lançamentos!$J$5:$J$504,"Parado - cliente"))</f>
        <v/>
      </c>
      <c r="E8" s="21">
        <f>IF(A8="","",COUNTIFS(Lançamentos!$B$5:$B$504,$A8,Lançamentos!$A$5:$A$504,"&gt;="&amp;$F$3,Lançamentos!$A$5:$A$504,"&lt;="&amp;$H$3,Lançamentos!$J$5:$J$504,"Parado - manutenção"))</f>
        <v/>
      </c>
      <c r="F8" s="22">
        <f>IF(A8="","",SUMIFS(Lançamentos!$K$5:$K$504,Lançamentos!$B$5:$B$504,$A8,Lançamentos!$A$5:$A$504,"&gt;="&amp;$F$3,Lançamentos!$A$5:$A$504,"&lt;="&amp;$H$3))</f>
        <v/>
      </c>
      <c r="G8" s="22">
        <f>IF(A8="","",SUMIFS(Lançamentos!$M$5:$M$504,Lançamentos!$B$5:$B$504,$A8,Lançamentos!$A$5:$A$504,"&gt;="&amp;$F$3,Lançamentos!$A$5:$A$504,"&lt;="&amp;$H$3))</f>
        <v/>
      </c>
      <c r="H8" s="22">
        <f>IF(A8="","",IF(C8=0,0,SUMIFS(Lançamentos!$K$5:$K$504,Lançamentos!$B$5:$B$504,$A8,Lançamentos!$A$5:$A$504,"&gt;="&amp;$F$3,Lançamentos!$A$5:$A$504,"&lt;="&amp;$H$3,Lançamentos!$J$5:$J$504,"Trabalhou")/C8))</f>
        <v/>
      </c>
      <c r="I8" s="23">
        <f>IF(A8="","",SUMIFS(Lançamentos!$O$5:$O$504,Lançamentos!$B$5:$B$504,$A8,Lançamentos!$A$5:$A$504,"&gt;="&amp;$F$3,Lançamentos!$A$5:$A$504,"&lt;="&amp;$H$3))</f>
        <v/>
      </c>
    </row>
    <row r="9">
      <c r="A9" s="21">
        <f>IF(Equipamentos!A8="","",Equipamentos!A8)</f>
        <v/>
      </c>
      <c r="B9" s="21">
        <f>IF(A9="","",COUNTIFS(Lançamentos!$B$5:$B$504,$A9,Lançamentos!$A$5:$A$504,"&gt;="&amp;$F$3,Lançamentos!$A$5:$A$504,"&lt;="&amp;$H$3))</f>
        <v/>
      </c>
      <c r="C9" s="21">
        <f>IF(A9="","",COUNTIFS(Lançamentos!$B$5:$B$504,$A9,Lançamentos!$A$5:$A$504,"&gt;="&amp;$F$3,Lançamentos!$A$5:$A$504,"&lt;="&amp;$H$3,Lançamentos!$J$5:$J$504,"Trabalhou"))</f>
        <v/>
      </c>
      <c r="D9" s="21">
        <f>IF(A9="","",COUNTIFS(Lançamentos!$B$5:$B$504,$A9,Lançamentos!$A$5:$A$504,"&gt;="&amp;$F$3,Lançamentos!$A$5:$A$504,"&lt;="&amp;$H$3,Lançamentos!$J$5:$J$504,"Parado - cliente"))</f>
        <v/>
      </c>
      <c r="E9" s="21">
        <f>IF(A9="","",COUNTIFS(Lançamentos!$B$5:$B$504,$A9,Lançamentos!$A$5:$A$504,"&gt;="&amp;$F$3,Lançamentos!$A$5:$A$504,"&lt;="&amp;$H$3,Lançamentos!$J$5:$J$504,"Parado - manutenção"))</f>
        <v/>
      </c>
      <c r="F9" s="22">
        <f>IF(A9="","",SUMIFS(Lançamentos!$K$5:$K$504,Lançamentos!$B$5:$B$504,$A9,Lançamentos!$A$5:$A$504,"&gt;="&amp;$F$3,Lançamentos!$A$5:$A$504,"&lt;="&amp;$H$3))</f>
        <v/>
      </c>
      <c r="G9" s="22">
        <f>IF(A9="","",SUMIFS(Lançamentos!$M$5:$M$504,Lançamentos!$B$5:$B$504,$A9,Lançamentos!$A$5:$A$504,"&gt;="&amp;$F$3,Lançamentos!$A$5:$A$504,"&lt;="&amp;$H$3))</f>
        <v/>
      </c>
      <c r="H9" s="22">
        <f>IF(A9="","",IF(C9=0,0,SUMIFS(Lançamentos!$K$5:$K$504,Lançamentos!$B$5:$B$504,$A9,Lançamentos!$A$5:$A$504,"&gt;="&amp;$F$3,Lançamentos!$A$5:$A$504,"&lt;="&amp;$H$3,Lançamentos!$J$5:$J$504,"Trabalhou")/C9))</f>
        <v/>
      </c>
      <c r="I9" s="23">
        <f>IF(A9="","",SUMIFS(Lançamentos!$O$5:$O$504,Lançamentos!$B$5:$B$504,$A9,Lançamentos!$A$5:$A$504,"&gt;="&amp;$F$3,Lançamentos!$A$5:$A$504,"&lt;="&amp;$H$3))</f>
        <v/>
      </c>
    </row>
    <row r="10">
      <c r="A10" s="21">
        <f>IF(Equipamentos!A9="","",Equipamentos!A9)</f>
        <v/>
      </c>
      <c r="B10" s="21">
        <f>IF(A10="","",COUNTIFS(Lançamentos!$B$5:$B$504,$A10,Lançamentos!$A$5:$A$504,"&gt;="&amp;$F$3,Lançamentos!$A$5:$A$504,"&lt;="&amp;$H$3))</f>
        <v/>
      </c>
      <c r="C10" s="21">
        <f>IF(A10="","",COUNTIFS(Lançamentos!$B$5:$B$504,$A10,Lançamentos!$A$5:$A$504,"&gt;="&amp;$F$3,Lançamentos!$A$5:$A$504,"&lt;="&amp;$H$3,Lançamentos!$J$5:$J$504,"Trabalhou"))</f>
        <v/>
      </c>
      <c r="D10" s="21">
        <f>IF(A10="","",COUNTIFS(Lançamentos!$B$5:$B$504,$A10,Lançamentos!$A$5:$A$504,"&gt;="&amp;$F$3,Lançamentos!$A$5:$A$504,"&lt;="&amp;$H$3,Lançamentos!$J$5:$J$504,"Parado - cliente"))</f>
        <v/>
      </c>
      <c r="E10" s="21">
        <f>IF(A10="","",COUNTIFS(Lançamentos!$B$5:$B$504,$A10,Lançamentos!$A$5:$A$504,"&gt;="&amp;$F$3,Lançamentos!$A$5:$A$504,"&lt;="&amp;$H$3,Lançamentos!$J$5:$J$504,"Parado - manutenção"))</f>
        <v/>
      </c>
      <c r="F10" s="22">
        <f>IF(A10="","",SUMIFS(Lançamentos!$K$5:$K$504,Lançamentos!$B$5:$B$504,$A10,Lançamentos!$A$5:$A$504,"&gt;="&amp;$F$3,Lançamentos!$A$5:$A$504,"&lt;="&amp;$H$3))</f>
        <v/>
      </c>
      <c r="G10" s="22">
        <f>IF(A10="","",SUMIFS(Lançamentos!$M$5:$M$504,Lançamentos!$B$5:$B$504,$A10,Lançamentos!$A$5:$A$504,"&gt;="&amp;$F$3,Lançamentos!$A$5:$A$504,"&lt;="&amp;$H$3))</f>
        <v/>
      </c>
      <c r="H10" s="22">
        <f>IF(A10="","",IF(C10=0,0,SUMIFS(Lançamentos!$K$5:$K$504,Lançamentos!$B$5:$B$504,$A10,Lançamentos!$A$5:$A$504,"&gt;="&amp;$F$3,Lançamentos!$A$5:$A$504,"&lt;="&amp;$H$3,Lançamentos!$J$5:$J$504,"Trabalhou")/C10))</f>
        <v/>
      </c>
      <c r="I10" s="23">
        <f>IF(A10="","",SUMIFS(Lançamentos!$O$5:$O$504,Lançamentos!$B$5:$B$504,$A10,Lançamentos!$A$5:$A$504,"&gt;="&amp;$F$3,Lançamentos!$A$5:$A$504,"&lt;="&amp;$H$3))</f>
        <v/>
      </c>
    </row>
    <row r="11">
      <c r="A11" s="21">
        <f>IF(Equipamentos!A10="","",Equipamentos!A10)</f>
        <v/>
      </c>
      <c r="B11" s="21">
        <f>IF(A11="","",COUNTIFS(Lançamentos!$B$5:$B$504,$A11,Lançamentos!$A$5:$A$504,"&gt;="&amp;$F$3,Lançamentos!$A$5:$A$504,"&lt;="&amp;$H$3))</f>
        <v/>
      </c>
      <c r="C11" s="21">
        <f>IF(A11="","",COUNTIFS(Lançamentos!$B$5:$B$504,$A11,Lançamentos!$A$5:$A$504,"&gt;="&amp;$F$3,Lançamentos!$A$5:$A$504,"&lt;="&amp;$H$3,Lançamentos!$J$5:$J$504,"Trabalhou"))</f>
        <v/>
      </c>
      <c r="D11" s="21">
        <f>IF(A11="","",COUNTIFS(Lançamentos!$B$5:$B$504,$A11,Lançamentos!$A$5:$A$504,"&gt;="&amp;$F$3,Lançamentos!$A$5:$A$504,"&lt;="&amp;$H$3,Lançamentos!$J$5:$J$504,"Parado - cliente"))</f>
        <v/>
      </c>
      <c r="E11" s="21">
        <f>IF(A11="","",COUNTIFS(Lançamentos!$B$5:$B$504,$A11,Lançamentos!$A$5:$A$504,"&gt;="&amp;$F$3,Lançamentos!$A$5:$A$504,"&lt;="&amp;$H$3,Lançamentos!$J$5:$J$504,"Parado - manutenção"))</f>
        <v/>
      </c>
      <c r="F11" s="22">
        <f>IF(A11="","",SUMIFS(Lançamentos!$K$5:$K$504,Lançamentos!$B$5:$B$504,$A11,Lançamentos!$A$5:$A$504,"&gt;="&amp;$F$3,Lançamentos!$A$5:$A$504,"&lt;="&amp;$H$3))</f>
        <v/>
      </c>
      <c r="G11" s="22">
        <f>IF(A11="","",SUMIFS(Lançamentos!$M$5:$M$504,Lançamentos!$B$5:$B$504,$A11,Lançamentos!$A$5:$A$504,"&gt;="&amp;$F$3,Lançamentos!$A$5:$A$504,"&lt;="&amp;$H$3))</f>
        <v/>
      </c>
      <c r="H11" s="22">
        <f>IF(A11="","",IF(C11=0,0,SUMIFS(Lançamentos!$K$5:$K$504,Lançamentos!$B$5:$B$504,$A11,Lançamentos!$A$5:$A$504,"&gt;="&amp;$F$3,Lançamentos!$A$5:$A$504,"&lt;="&amp;$H$3,Lançamentos!$J$5:$J$504,"Trabalhou")/C11))</f>
        <v/>
      </c>
      <c r="I11" s="23">
        <f>IF(A11="","",SUMIFS(Lançamentos!$O$5:$O$504,Lançamentos!$B$5:$B$504,$A11,Lançamentos!$A$5:$A$504,"&gt;="&amp;$F$3,Lançamentos!$A$5:$A$504,"&lt;="&amp;$H$3))</f>
        <v/>
      </c>
    </row>
    <row r="12">
      <c r="A12" s="18" t="inlineStr">
        <is>
          <t>TOTAL</t>
        </is>
      </c>
      <c r="B12" s="24">
        <f>SUM(B6:B11)</f>
        <v/>
      </c>
      <c r="C12" s="24">
        <f>SUM(C6:C11)</f>
        <v/>
      </c>
      <c r="D12" s="24">
        <f>SUM(D6:D11)</f>
        <v/>
      </c>
      <c r="E12" s="24">
        <f>SUM(E6:E11)</f>
        <v/>
      </c>
      <c r="F12" s="25">
        <f>SUM(F6:F11)</f>
        <v/>
      </c>
      <c r="G12" s="25">
        <f>SUM(G6:G11)</f>
        <v/>
      </c>
      <c r="H12" s="2" t="n"/>
      <c r="I12" s="26">
        <f>SUM(I6:I11)</f>
        <v/>
      </c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3" t="inlineStr">
        <is>
          <t>Obs.: 'Dias lançados' conta linhas; se houver 2 lançamentos no mesmo dia para o mesmo equipamento, conta 2.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2026-09-24T11:59:54Z</dcterms:created>
  <dcterms:modified xsi:type="dcterms:W3CDTF">2026-09-24T12:05:36Z</dcterms:modified>
</cp:coreProperties>
</file>